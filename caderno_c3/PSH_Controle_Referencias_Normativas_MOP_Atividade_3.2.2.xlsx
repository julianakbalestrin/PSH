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Cadastro normativo" sheetId="1" state="visible" r:id="rId1"/>
    <sheet xmlns:r="http://schemas.openxmlformats.org/officeDocument/2006/relationships" name="Citações no MOP" sheetId="2" state="visible" r:id="rId2"/>
    <sheet xmlns:r="http://schemas.openxmlformats.org/officeDocument/2006/relationships" name="Instruções" sheetId="3" state="visible" r:id="rId3"/>
    <sheet xmlns:r="http://schemas.openxmlformats.org/officeDocument/2006/relationships" name="Painel" sheetId="4" state="visible" r:id="rId4"/>
  </sheets>
  <definedNames/>
</workbook>
</file>

<file path=xl/styles.xml><?xml version="1.0" encoding="utf-8"?>
<styleSheet xmlns="http://schemas.openxmlformats.org/spreadsheetml/2006/main">
  <numFmts count="1">
    <numFmt numFmtId="164" formatCode="dd/mm/yyyy"/>
  </numFmts>
  <fonts count="6">
    <font>
      <name val="Carlito"/>
      <sz val="11"/>
    </font>
    <font>
      <name val="Carlito"/>
      <b val="1"/>
      <color rgb="FFFFFFFF"/>
      <sz val="16"/>
    </font>
    <font>
      <name val="Carlito"/>
      <color rgb="FF355568"/>
      <sz val="10"/>
    </font>
    <font>
      <name val="Carlito"/>
      <b val="1"/>
      <color rgb="FFFFFFFF"/>
      <sz val="10"/>
    </font>
    <font>
      <name val="Carlito"/>
      <b val="1"/>
      <color rgb="FFFFFFFF"/>
      <sz val="11"/>
    </font>
    <font>
      <name val="Carlito"/>
      <color rgb="FF156E9A"/>
      <sz val="11"/>
    </font>
  </fonts>
  <fills count="6">
    <fill>
      <patternFill/>
    </fill>
    <fill>
      <patternFill patternType="gray125"/>
    </fill>
    <fill>
      <patternFill patternType="solid">
        <fgColor rgb="FF12354A"/>
      </patternFill>
    </fill>
    <fill>
      <patternFill patternType="solid">
        <fgColor rgb="FFE9F1F4"/>
      </patternFill>
    </fill>
    <fill>
      <patternFill patternType="solid">
        <fgColor rgb="FF176B79"/>
      </patternFill>
    </fill>
    <fill>
      <patternFill patternType="solid">
        <fgColor rgb="FFFFF4D8"/>
      </patternFill>
    </fill>
  </fills>
  <borders count="2">
    <border/>
    <border/>
  </borders>
  <cellStyleXfs count="1">
    <xf numFmtId="0" fontId="0" fillId="0" borderId="1"/>
  </cellStyleXfs>
  <cellXfs count="42">
    <xf numFmtId="0" fontId="0" fillId="0" borderId="0" pivotButton="0" quotePrefix="0" xfId="0"/>
    <xf numFmtId="0" fontId="0" fillId="0" borderId="1" pivotButton="0" quotePrefix="0" xfId="0"/>
    <xf numFmtId="164" fontId="0" fillId="0" borderId="0" pivotButton="0" quotePrefix="0" xfId="0"/>
    <xf numFmtId="164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vertic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vertical="center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wrapText="1"/>
    </xf>
    <xf numFmtId="0" fontId="0" fillId="3" borderId="1" pivotButton="0" quotePrefix="0" xfId="0"/>
    <xf numFmtId="0" fontId="2" fillId="3" borderId="1" pivotButton="0" quotePrefix="0" xfId="0"/>
    <xf numFmtId="0" fontId="2" fillId="3" borderId="1" applyAlignment="1" pivotButton="0" quotePrefix="0" xfId="0">
      <alignment wrapText="1"/>
    </xf>
    <xf numFmtId="0" fontId="0" fillId="4" borderId="0" pivotButton="0" quotePrefix="0" xfId="0"/>
    <xf numFmtId="0" fontId="3" fillId="4" borderId="0" pivotButton="0" quotePrefix="0" xfId="0"/>
    <xf numFmtId="0" fontId="3" fillId="4" borderId="0" applyAlignment="1" pivotButton="0" quotePrefix="0" xfId="0">
      <alignment wrapText="1"/>
    </xf>
    <xf numFmtId="0" fontId="3" fillId="4" borderId="0" applyAlignment="1" pivotButton="0" quotePrefix="0" xfId="0">
      <alignment vertical="center" wrapText="1"/>
    </xf>
    <xf numFmtId="0" fontId="0" fillId="4" borderId="1" pivotButton="0" quotePrefix="0" xfId="0"/>
    <xf numFmtId="0" fontId="3" fillId="4" borderId="1" pivotButton="0" quotePrefix="0" xfId="0"/>
    <xf numFmtId="0" fontId="3" fillId="4" borderId="1" applyAlignment="1" pivotButton="0" quotePrefix="0" xfId="0">
      <alignment wrapText="1"/>
    </xf>
    <xf numFmtId="0" fontId="3" fillId="4" borderId="1" applyAlignment="1" pivotButton="0" quotePrefix="0" xfId="0">
      <alignment vertical="center" wrapText="1"/>
    </xf>
    <xf numFmtId="0" fontId="0" fillId="5" borderId="0" pivotButton="0" quotePrefix="0" xfId="0"/>
    <xf numFmtId="164" fontId="0" fillId="5" borderId="0" pivotButton="0" quotePrefix="0" xfId="0"/>
    <xf numFmtId="0" fontId="0" fillId="5" borderId="1" pivotButton="0" quotePrefix="0" xfId="0"/>
    <xf numFmtId="164" fontId="0" fillId="5" borderId="1" pivotButton="0" quotePrefix="0" xfId="0"/>
    <xf numFmtId="0" fontId="2" fillId="4" borderId="0" applyAlignment="1" pivotButton="0" quotePrefix="0" xfId="0">
      <alignment wrapText="1"/>
    </xf>
    <xf numFmtId="0" fontId="2" fillId="4" borderId="1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0" fillId="0" borderId="0" applyAlignment="1" pivotButton="0" quotePrefix="0" xfId="0">
      <alignment vertical="center" wrapText="1"/>
    </xf>
    <xf numFmtId="0" fontId="0" fillId="0" borderId="1" applyAlignment="1" pivotButton="0" quotePrefix="0" xfId="0">
      <alignment wrapText="1"/>
    </xf>
    <xf numFmtId="0" fontId="0" fillId="0" borderId="1" applyAlignment="1" pivotButton="0" quotePrefix="0" xfId="0">
      <alignment vertical="center" wrapText="1"/>
    </xf>
    <xf numFmtId="0" fontId="4" fillId="4" borderId="0" pivotButton="0" quotePrefix="0" xfId="0"/>
    <xf numFmtId="0" fontId="4" fillId="4" borderId="1" pivotButton="0" quotePrefix="0" xfId="0"/>
    <xf numFmtId="0" fontId="5" fillId="5" borderId="0" pivotButton="0" quotePrefix="0" xfId="0"/>
    <xf numFmtId="0" fontId="5" fillId="0" borderId="0" pivotButton="0" quotePrefix="0" xfId="0"/>
    <xf numFmtId="0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NormasPSH" displayName="NormasPSH" ref="A4:Q26" headerRowCount="1" totalsRowCount="0" totalsRowShown="0">
  <tableColumns count="17">
    <tableColumn id="1" name="ID norma"/>
    <tableColumn id="2" name="Esfera"/>
    <tableColumn id="3" name="Tipo de ato"/>
    <tableColumn id="4" name="Número"/>
    <tableColumn id="5" name="Ano"/>
    <tableColumn id="6" name="Data de publicação"/>
    <tableColumn id="7" name="Ementa / assunto"/>
    <tableColumn id="8" name="Órgão emissor"/>
    <tableColumn id="9" name="Tema / eixo"/>
    <tableColumn id="10" name="Aplicação ao PSH"/>
    <tableColumn id="11" name="Situação normativa"/>
    <tableColumn id="12" name="Verificação oficial"/>
    <tableColumn id="13" name="URL fonte oficial"/>
    <tableColumn id="14" name="URL texto consolidado"/>
    <tableColumn id="15" name="Responsável pela conferência"/>
    <tableColumn id="16" name="Data da última conferência"/>
    <tableColumn id="17" name="Providência / observaçõ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itacoesPSH" displayName="CitacoesPSH" ref="A4:M73" headerRowCount="1" totalsRowCount="0" totalsRowShown="0">
  <tableColumns count="13">
    <tableColumn id="1" name="ID ocorrência"/>
    <tableColumn id="2" name="ID norma (cadastro)"/>
    <tableColumn id="3" name="Caderno / volume"/>
    <tableColumn id="4" name="Seção / item do MOP"/>
    <tableColumn id="5" name="Ação / subação"/>
    <tableColumn id="6" name="Trecho ou contexto da citação"/>
    <tableColumn id="7" name="Finalidade da referência"/>
    <tableColumn id="8" name="Tipo de vínculo"/>
    <tableColumn id="9" name="Necessita atualização do MOP?"/>
    <tableColumn id="10" name="Responsável pelo ajuste"/>
    <tableColumn id="11" name="Status de revisão"/>
    <tableColumn id="12" name="Data da revisão"/>
    <tableColumn id="13" name="Observações / encaminhamento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00"/>
  <sheetViews>
    <sheetView workbookViewId="0">
      <pane ySplit="4" topLeftCell="A5" activePane="bottomLeft" state="frozen"/>
      <selection activeCell="A1" sqref="A1"/>
    </sheetView>
  </sheetViews>
  <sheetFormatPr baseColWidth="8" defaultRowHeight="15"/>
  <cols>
    <col width="14" customWidth="1" min="1" max="1"/>
    <col width="17" customWidth="1" min="2" max="2"/>
    <col width="22" customWidth="1" min="3" max="3"/>
    <col width="13" customWidth="1" min="4" max="4"/>
    <col width="10" customWidth="1" min="5" max="5"/>
    <col width="18" customWidth="1" min="6" max="6"/>
    <col width="43" customWidth="1" min="7" max="7"/>
    <col width="23" customWidth="1" min="8" max="8"/>
    <col width="24" customWidth="1" min="9" max="9"/>
    <col width="42" customWidth="1" min="10" max="10"/>
    <col width="24" customWidth="1" min="11" max="11"/>
    <col width="27" customWidth="1" min="12" max="12"/>
    <col width="38" customWidth="1" min="13" max="13"/>
    <col width="38" customWidth="1" min="14" max="14"/>
    <col width="27" customWidth="1" min="15" max="15"/>
    <col width="21" customWidth="1" min="16" max="16"/>
    <col width="46" customWidth="1" min="17" max="17"/>
  </cols>
  <sheetData>
    <row r="1" ht="27" customHeight="1">
      <c r="A1" s="9" t="inlineStr">
        <is>
          <t>PSH | Biblioteca de referências normativas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</row>
    <row r="2" ht="27" customHeight="1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</row>
    <row r="3" ht="30" customHeight="1">
      <c r="A3" s="15" t="inlineStr">
        <is>
          <t>Uma linha por ato normativo. Não transcrever legislação no MOP; manter identificação, vínculo e fontes oficiais.</t>
        </is>
      </c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</row>
    <row r="4" ht="40" customHeight="1">
      <c r="A4" s="19" t="inlineStr">
        <is>
          <t>ID norma</t>
        </is>
      </c>
      <c r="B4" s="19" t="inlineStr">
        <is>
          <t>Esfera</t>
        </is>
      </c>
      <c r="C4" s="19" t="inlineStr">
        <is>
          <t>Tipo de ato</t>
        </is>
      </c>
      <c r="D4" s="19" t="inlineStr">
        <is>
          <t>Número</t>
        </is>
      </c>
      <c r="E4" s="19" t="inlineStr">
        <is>
          <t>Ano</t>
        </is>
      </c>
      <c r="F4" s="19" t="inlineStr">
        <is>
          <t>Data de publicação</t>
        </is>
      </c>
      <c r="G4" s="19" t="inlineStr">
        <is>
          <t>Ementa / assunto</t>
        </is>
      </c>
      <c r="H4" s="19" t="inlineStr">
        <is>
          <t>Órgão emissor</t>
        </is>
      </c>
      <c r="I4" s="19" t="inlineStr">
        <is>
          <t>Tema / eixo</t>
        </is>
      </c>
      <c r="J4" s="19" t="inlineStr">
        <is>
          <t>Aplicação ao PSH</t>
        </is>
      </c>
      <c r="K4" s="19" t="inlineStr">
        <is>
          <t>Situação normativa</t>
        </is>
      </c>
      <c r="L4" s="19" t="inlineStr">
        <is>
          <t>Verificação oficial</t>
        </is>
      </c>
      <c r="M4" s="19" t="inlineStr">
        <is>
          <t>URL fonte oficial</t>
        </is>
      </c>
      <c r="N4" s="19" t="inlineStr">
        <is>
          <t>URL texto consolidado</t>
        </is>
      </c>
      <c r="O4" s="19" t="inlineStr">
        <is>
          <t>Responsável pela conferência</t>
        </is>
      </c>
      <c r="P4" s="19" t="inlineStr">
        <is>
          <t>Data da última conferência</t>
        </is>
      </c>
      <c r="Q4" s="19" t="inlineStr">
        <is>
          <t>Providência / observações</t>
        </is>
      </c>
    </row>
    <row r="5" ht="111" customHeight="1">
      <c r="A5" s="38" t="inlineStr">
        <is>
          <t>N-001</t>
        </is>
      </c>
      <c r="B5" s="38" t="inlineStr">
        <is>
          <t>Internacional</t>
        </is>
      </c>
      <c r="C5" s="38" t="inlineStr">
        <is>
          <t>Outro</t>
        </is>
      </c>
      <c r="D5" s="38" t="n"/>
      <c r="E5" s="38" t="n"/>
      <c r="F5" s="39" t="n"/>
      <c r="G5" s="38" t="inlineStr">
        <is>
          <t>Acordo de Empréstimo entre o Estado do Paraná e o BIRD para o Programa de Segurança Hídrica do Paraná (PSH-PR). Parte 3.2(b): sistemas coletivos de abastecimento de água no meio rural e soluções de saneamento associadas; item (j)(vii) das definições: identificação das áreas rurais da Parte 3.2 no MOP.</t>
        </is>
      </c>
      <c r="H5" s="38" t="inlineStr">
        <is>
          <t>Estado do Paraná e Banco Internacional para Reconstrução e Desenvolvimento (BIRD)</t>
        </is>
      </c>
      <c r="I5" s="38" t="inlineStr">
        <is>
          <t>Governança do Programa</t>
        </is>
      </c>
      <c r="J5" s="38" t="inlineStr">
        <is>
          <t>Define o escopo da Atividade 3.2.2 e exige que o MOP identifique as áreas rurais atendidas (item 2 das Ações 3.2.2.1, 3.2.2.3, 3.2.2.4 e 3.2.2.6).</t>
        </is>
      </c>
      <c r="K5" s="38" t="inlineStr">
        <is>
          <t>A verificar</t>
        </is>
      </c>
      <c r="L5" s="38" t="inlineStr">
        <is>
          <t>Não conferido</t>
        </is>
      </c>
      <c r="M5" s="40" t="n"/>
      <c r="N5" s="40" t="n"/>
      <c r="O5" s="38" t="inlineStr">
        <is>
          <t>A designar – IAT (Atividade 3.2.2)</t>
        </is>
      </c>
      <c r="P5" s="39" t="n"/>
      <c r="Q5" s="38" t="inlineStr">
        <is>
          <t>Informar o número e a data de assinatura do Acordo. O item (j)(vii) foi citado a partir da tradução das definições usada na elaboração do MOP; conferir na versão assinada.</t>
        </is>
      </c>
    </row>
    <row r="6" ht="66" customHeight="1">
      <c r="A6" s="38" t="inlineStr">
        <is>
          <t>N-002</t>
        </is>
      </c>
      <c r="B6" s="38" t="inlineStr">
        <is>
          <t>Internacional</t>
        </is>
      </c>
      <c r="C6" s="38" t="inlineStr">
        <is>
          <t>Política / diretriz</t>
        </is>
      </c>
      <c r="D6" s="38" t="n"/>
      <c r="E6" s="38" t="inlineStr">
        <is>
          <t>2016</t>
        </is>
      </c>
      <c r="F6" s="39" t="n"/>
      <c r="G6" s="38" t="inlineStr">
        <is>
          <t>Quadro Ambiental e Social (QAS) do Banco Mundial, com as Normas Ambientais e Sociais (NAS) 1 a 10.</t>
        </is>
      </c>
      <c r="H6" s="38" t="inlineStr">
        <is>
          <t>Banco Mundial</t>
        </is>
      </c>
      <c r="I6" s="38" t="inlineStr">
        <is>
          <t>Ambiental e social</t>
        </is>
      </c>
      <c r="J6" s="38" t="inlineStr">
        <is>
          <t>Item 7 de todas as ações: NAS aplicáveis e medidas, com remissão aos instrumentos do Caderno AS (MGAS, PEPI, MQR, Procedimentos de Gestão de Mão de Obra e Marco de Política de Reassentamento).</t>
        </is>
      </c>
      <c r="K6" s="38" t="inlineStr">
        <is>
          <t>Vigente</t>
        </is>
      </c>
      <c r="L6" s="38" t="inlineStr">
        <is>
          <t>Pendente de confirmação</t>
        </is>
      </c>
      <c r="M6" s="40" t="inlineStr">
        <is>
          <t>https://www.worldbank.org/en/projects-operations/environmental-and-social-framework</t>
        </is>
      </c>
      <c r="N6" s="40" t="n"/>
      <c r="O6" s="38" t="inlineStr">
        <is>
          <t>A designar – IAT (Atividade 3.2.2)</t>
        </is>
      </c>
      <c r="P6" s="39" t="n"/>
      <c r="Q6" s="38" t="inlineStr">
        <is>
          <t>Aprovado em 2016 e aplicado aos projetos aprovados desde 1º/10/2018. A NAS 9 não se aplica ao Programa. Conferir a versão em português adotada no Caderno AS.</t>
        </is>
      </c>
    </row>
    <row r="7" ht="81" customHeight="1">
      <c r="A7" s="38" t="inlineStr">
        <is>
          <t>N-003</t>
        </is>
      </c>
      <c r="B7" s="38" t="inlineStr">
        <is>
          <t>Internacional</t>
        </is>
      </c>
      <c r="C7" s="38" t="inlineStr">
        <is>
          <t>Política / diretriz</t>
        </is>
      </c>
      <c r="D7" s="38" t="n"/>
      <c r="E7" s="38" t="n"/>
      <c r="F7" s="39" t="n"/>
      <c r="G7" s="38" t="inlineStr">
        <is>
          <t>Regulamento de Aquisições para Mutuários de Financiamento de Projetos de Investimento (Procurement Regulations for IPF Borrowers).</t>
        </is>
      </c>
      <c r="H7" s="38" t="inlineStr">
        <is>
          <t>Banco Mundial</t>
        </is>
      </c>
      <c r="I7" s="38" t="inlineStr">
        <is>
          <t>Aquisições</t>
        </is>
      </c>
      <c r="J7" s="38" t="inlineStr">
        <is>
          <t>Contratações financiadas pelo BIRD nas Ações 3.2.2.1, 3.2.2.2, 3.2.2.3, 3.2.2.5, 3.2.2.6 e 3.2.2.7, conforme o Caderno AQ e o Plano de Aquisições; compatibilidade do regime de contratação integrada (Ação 3.2.2.3).</t>
        </is>
      </c>
      <c r="K7" s="38" t="inlineStr">
        <is>
          <t>A verificar</t>
        </is>
      </c>
      <c r="L7" s="38" t="inlineStr">
        <is>
          <t>Pendente de confirmação</t>
        </is>
      </c>
      <c r="M7" s="40" t="inlineStr">
        <is>
          <t>https://www.worldbank.org/en/projects-operations/products-and-services/brief/procurement-new-framework</t>
        </is>
      </c>
      <c r="N7" s="40" t="n"/>
      <c r="O7" s="38" t="inlineStr">
        <is>
          <t>A designar – IAT (Atividade 3.2.2)</t>
        </is>
      </c>
      <c r="P7" s="39" t="n"/>
      <c r="Q7" s="38" t="inlineStr">
        <is>
          <t>Vale a edição indicada no Acordo de Empréstimo. Consulta preliminar em 23/10/2026, em fontes secundárias; o acesso aos portais oficiais não estava disponível. Foram encontradas a 6ª edição (fev. 2025, em vigor desde 1º/3/2025) e a 7ª edição (set. 2025).</t>
        </is>
      </c>
    </row>
    <row r="8" ht="111" customHeight="1">
      <c r="A8" s="38" t="inlineStr">
        <is>
          <t>N-004</t>
        </is>
      </c>
      <c r="B8" s="38" t="inlineStr">
        <is>
          <t>Federal</t>
        </is>
      </c>
      <c r="C8" s="38" t="inlineStr">
        <is>
          <t>Lei</t>
        </is>
      </c>
      <c r="D8" s="38" t="inlineStr">
        <is>
          <t>9.433</t>
        </is>
      </c>
      <c r="E8" s="38" t="inlineStr">
        <is>
          <t>1997</t>
        </is>
      </c>
      <c r="F8" s="39" t="n">
        <v>35439</v>
      </c>
      <c r="G8" s="38" t="inlineStr">
        <is>
          <t>Lei nº 9.433, de 8 de janeiro de 1997. Institui a Política Nacional de Recursos Hídricos, cria o Sistema Nacional de Gerenciamento de Recursos Hídricos, regulamenta o inciso XIX do art. 21 da Constituição Federal, e altera o art. 1º da Lei nº 8.001, de 13 de março de 1990, que modificou a Lei nº 7.990, de 28 de dezembro de 1989.</t>
        </is>
      </c>
      <c r="H8" s="38" t="inlineStr">
        <is>
          <t>Presidência da República</t>
        </is>
      </c>
      <c r="I8" s="38" t="inlineStr">
        <is>
          <t>Recursos hídricos – outorga</t>
        </is>
      </c>
      <c r="J8" s="38" t="inlineStr">
        <is>
          <t>Outorga de direito de uso da água subterrânea dos poços (Ação 3.2.2.3, item 10).</t>
        </is>
      </c>
      <c r="K8" s="38" t="inlineStr">
        <is>
          <t>Alterada / consolidada</t>
        </is>
      </c>
      <c r="L8" s="38" t="inlineStr">
        <is>
          <t>Pendente de confirmação</t>
        </is>
      </c>
      <c r="M8" s="40" t="inlineStr">
        <is>
          <t>https://www.planalto.gov.br/ccivil_03/leis/l9433.htm</t>
        </is>
      </c>
      <c r="N8" s="40" t="inlineStr">
        <is>
          <t>https://www.planalto.gov.br/ccivil_03/leis/l9433.htm</t>
        </is>
      </c>
      <c r="O8" s="38" t="inlineStr">
        <is>
          <t>A designar – IAT (Atividade 3.2.2)</t>
        </is>
      </c>
      <c r="P8" s="39" t="n"/>
      <c r="Q8" s="38" t="inlineStr">
        <is>
          <t>Conferir o texto compilado no Planalto.</t>
        </is>
      </c>
    </row>
    <row r="9" ht="66" customHeight="1">
      <c r="A9" s="38" t="inlineStr">
        <is>
          <t>N-005</t>
        </is>
      </c>
      <c r="B9" s="38" t="inlineStr">
        <is>
          <t>Federal</t>
        </is>
      </c>
      <c r="C9" s="38" t="inlineStr">
        <is>
          <t>Lei</t>
        </is>
      </c>
      <c r="D9" s="38" t="inlineStr">
        <is>
          <t>11.107</t>
        </is>
      </c>
      <c r="E9" s="38" t="inlineStr">
        <is>
          <t>2005</t>
        </is>
      </c>
      <c r="F9" s="39" t="n">
        <v>38449</v>
      </c>
      <c r="G9" s="38" t="inlineStr">
        <is>
          <t>Lei nº 11.107, de 6 de abril de 2005. Dispõe sobre normas gerais de contratação de consórcios públicos e dá outras providências.</t>
        </is>
      </c>
      <c r="H9" s="38" t="inlineStr">
        <is>
          <t>Presidência da República</t>
        </is>
      </c>
      <c r="I9" s="38" t="inlineStr">
        <is>
          <t>Gestão associada – consórcios públicos</t>
        </is>
      </c>
      <c r="J9" s="38" t="inlineStr">
        <is>
          <t>Alternativa de modelo de gestão por consórcio público, com alteração do contrato de consórcio, contrato de rateio e cessão de uso dos ativos (Ação 3.2.2.1, Etapa 1).</t>
        </is>
      </c>
      <c r="K9" s="38" t="inlineStr">
        <is>
          <t>Alterada / consolidada</t>
        </is>
      </c>
      <c r="L9" s="38" t="inlineStr">
        <is>
          <t>Pendente de confirmação</t>
        </is>
      </c>
      <c r="M9" s="40" t="inlineStr">
        <is>
          <t>https://www.planalto.gov.br/ccivil_03/_ato2004-2006/2005/lei/l11107.htm</t>
        </is>
      </c>
      <c r="N9" s="40" t="inlineStr">
        <is>
          <t>https://www.planalto.gov.br/ccivil_03/_ato2004-2006/2005/lei/l11107.htm</t>
        </is>
      </c>
      <c r="O9" s="38" t="inlineStr">
        <is>
          <t>A designar – IAT (Atividade 3.2.2)</t>
        </is>
      </c>
      <c r="P9" s="39" t="n"/>
      <c r="Q9" s="38" t="inlineStr">
        <is>
          <t>Alterada, entre outras, pela Lei nº 14.026/2020, que vedou a prestação por contrato de programa dos serviços de que trata o art. 175 da Constituição. Conferir o texto compilado.</t>
        </is>
      </c>
    </row>
    <row r="10" ht="66" customHeight="1">
      <c r="A10" s="38" t="inlineStr">
        <is>
          <t>N-006</t>
        </is>
      </c>
      <c r="B10" s="38" t="inlineStr">
        <is>
          <t>Federal</t>
        </is>
      </c>
      <c r="C10" s="38" t="inlineStr">
        <is>
          <t>Lei</t>
        </is>
      </c>
      <c r="D10" s="38" t="inlineStr">
        <is>
          <t>11.445</t>
        </is>
      </c>
      <c r="E10" s="38" t="inlineStr">
        <is>
          <t>2007</t>
        </is>
      </c>
      <c r="F10" s="39" t="n">
        <v>39090</v>
      </c>
      <c r="G10" s="38" t="inlineStr">
        <is>
          <t>Lei nº 11.445, de 5 de janeiro de 2007. Estabelece as diretrizes nacionais para o saneamento básico [...].</t>
        </is>
      </c>
      <c r="H10" s="38" t="inlineStr">
        <is>
          <t>Presidência da República</t>
        </is>
      </c>
      <c r="I10" s="38" t="inlineStr">
        <is>
          <t>Saneamento básico – marco legal</t>
        </is>
      </c>
      <c r="J10" s="38" t="inlineStr">
        <is>
          <t>Titularidade, gestão associada e prestação dos serviços de saneamento no meio rural; base do arranjo consorciado e das regras de tarifa (Ação 3.2.2.1).</t>
        </is>
      </c>
      <c r="K10" s="38" t="inlineStr">
        <is>
          <t>Alterada / consolidada</t>
        </is>
      </c>
      <c r="L10" s="38" t="inlineStr">
        <is>
          <t>Pendente de confirmação</t>
        </is>
      </c>
      <c r="M10" s="40" t="inlineStr">
        <is>
          <t>https://www.planalto.gov.br/ccivil_03/_ato2007-2010/2007/lei/l11445.htm</t>
        </is>
      </c>
      <c r="N10" s="40" t="inlineStr">
        <is>
          <t>https://www.planalto.gov.br/ccivil_03/_ato2007-2010/2007/lei/l11445.htm</t>
        </is>
      </c>
      <c r="O10" s="38" t="inlineStr">
        <is>
          <t>A designar – IAT (Atividade 3.2.2)</t>
        </is>
      </c>
      <c r="P10" s="39" t="n"/>
      <c r="Q10" s="38" t="inlineStr">
        <is>
          <t>Redação atualizada pela Lei nº 14.026/2020. Atenção: a nota técnica do Componente 3 traz trocados, na lista de referências, os endereços das Leis nº 11.445/2007 e nº 14.026/2020.</t>
        </is>
      </c>
    </row>
    <row r="11" ht="81" customHeight="1">
      <c r="A11" s="38" t="inlineStr">
        <is>
          <t>N-007</t>
        </is>
      </c>
      <c r="B11" s="38" t="inlineStr">
        <is>
          <t>Federal</t>
        </is>
      </c>
      <c r="C11" s="38" t="inlineStr">
        <is>
          <t>Lei</t>
        </is>
      </c>
      <c r="D11" s="38" t="inlineStr">
        <is>
          <t>13.019</t>
        </is>
      </c>
      <c r="E11" s="38" t="inlineStr">
        <is>
          <t>2014</t>
        </is>
      </c>
      <c r="F11" s="39" t="n">
        <v>41852</v>
      </c>
      <c r="G11" s="38" t="inlineStr">
        <is>
          <t>Lei nº 13.019, de 31 de julho de 2014. Estabelece o regime jurídico das parcerias entre a administração pública e as organizações da sociedade civil [...] (Marco Regulatório das Organizações da Sociedade Civil – MROSC).</t>
        </is>
      </c>
      <c r="H11" s="38" t="inlineStr">
        <is>
          <t>Presidência da República</t>
        </is>
      </c>
      <c r="I11" s="38" t="inlineStr">
        <is>
          <t>Parcerias com organizações da sociedade civil</t>
        </is>
      </c>
      <c r="J11" s="38" t="inlineStr">
        <is>
          <t>Alternativas de gestão por associação de moradores e por central de associações; Acordo de Cooperação para o uso da infraestrutura pública (Ação 3.2.2.1).</t>
        </is>
      </c>
      <c r="K11" s="38" t="inlineStr">
        <is>
          <t>Alterada / consolidada</t>
        </is>
      </c>
      <c r="L11" s="38" t="inlineStr">
        <is>
          <t>Pendente de confirmação</t>
        </is>
      </c>
      <c r="M11" s="40" t="inlineStr">
        <is>
          <t>https://www.planalto.gov.br/ccivil_03/_ato2011-2014/2014/lei/l13019.htm</t>
        </is>
      </c>
      <c r="N11" s="40" t="inlineStr">
        <is>
          <t>https://www.planalto.gov.br/ccivil_03/_ato2011-2014/2014/lei/l13019.htm</t>
        </is>
      </c>
      <c r="O11" s="38" t="inlineStr">
        <is>
          <t>A designar – IAT (Atividade 3.2.2)</t>
        </is>
      </c>
      <c r="P11" s="39" t="n"/>
      <c r="Q11" s="38" t="inlineStr">
        <is>
          <t>Alterada pela Lei nº 13.204/2015, entre outras. Conferir o texto compilado e a regulamentação estadual.</t>
        </is>
      </c>
    </row>
    <row r="12" ht="36" customHeight="1">
      <c r="A12" s="38" t="inlineStr">
        <is>
          <t>N-008</t>
        </is>
      </c>
      <c r="B12" s="38" t="inlineStr">
        <is>
          <t>Federal</t>
        </is>
      </c>
      <c r="C12" s="38" t="inlineStr">
        <is>
          <t>Lei</t>
        </is>
      </c>
      <c r="D12" s="38" t="inlineStr">
        <is>
          <t>13.709</t>
        </is>
      </c>
      <c r="E12" s="38" t="inlineStr">
        <is>
          <t>2018</t>
        </is>
      </c>
      <c r="F12" s="39" t="n">
        <v>43327</v>
      </c>
      <c r="G12" s="38" t="inlineStr">
        <is>
          <t>Lei nº 13.709, de 14 de agosto de 2018. Lei Geral de Proteção de Dados Pessoais (LGPD).</t>
        </is>
      </c>
      <c r="H12" s="38" t="inlineStr">
        <is>
          <t>Presidência da República</t>
        </is>
      </c>
      <c r="I12" s="38" t="inlineStr">
        <is>
          <t>Proteção de dados pessoais</t>
        </is>
      </c>
      <c r="J12" s="38" t="inlineStr">
        <is>
          <t>Tratamento dos dados pessoais do cadastro domiciliar do trabalho técnico-social (Ação 3.2.2.2).</t>
        </is>
      </c>
      <c r="K12" s="38" t="inlineStr">
        <is>
          <t>Alterada / consolidada</t>
        </is>
      </c>
      <c r="L12" s="38" t="inlineStr">
        <is>
          <t>Pendente de confirmação</t>
        </is>
      </c>
      <c r="M12" s="40" t="inlineStr">
        <is>
          <t>https://www.planalto.gov.br/ccivil_03/_ato2015-2018/2018/lei/l13709.htm</t>
        </is>
      </c>
      <c r="N12" s="40" t="inlineStr">
        <is>
          <t>https://www.planalto.gov.br/ccivil_03/_ato2015-2018/2018/lei/l13709.htm</t>
        </is>
      </c>
      <c r="O12" s="38" t="inlineStr">
        <is>
          <t>A designar – IAT (Atividade 3.2.2)</t>
        </is>
      </c>
      <c r="P12" s="39" t="n"/>
      <c r="Q12" s="38" t="inlineStr">
        <is>
          <t>Alterada pela Lei nº 13.853/2019, entre outras. Conferir o texto compilado.</t>
        </is>
      </c>
    </row>
    <row r="13" ht="66" customHeight="1">
      <c r="A13" s="38" t="inlineStr">
        <is>
          <t>N-009</t>
        </is>
      </c>
      <c r="B13" s="38" t="inlineStr">
        <is>
          <t>Federal</t>
        </is>
      </c>
      <c r="C13" s="38" t="inlineStr">
        <is>
          <t>Lei</t>
        </is>
      </c>
      <c r="D13" s="38" t="inlineStr">
        <is>
          <t>14.026</t>
        </is>
      </c>
      <c r="E13" s="38" t="inlineStr">
        <is>
          <t>2020</t>
        </is>
      </c>
      <c r="F13" s="39" t="n">
        <v>44028</v>
      </c>
      <c r="G13" s="38" t="inlineStr">
        <is>
          <t>Lei nº 14.026, de 15 de julho de 2020. Atualiza o marco legal do saneamento básico e altera a Lei nº 9.984, de 17 de julho de 2000, [...].</t>
        </is>
      </c>
      <c r="H13" s="38" t="inlineStr">
        <is>
          <t>Presidência da República</t>
        </is>
      </c>
      <c r="I13" s="38" t="inlineStr">
        <is>
          <t>Saneamento básico – marco legal</t>
        </is>
      </c>
      <c r="J13" s="38" t="inlineStr">
        <is>
          <t>Marco legal atualizado do saneamento: limita o contrato de programa e trata da prestação regionalizada, o que afeta o arranjo consorciado (Ação 3.2.2.1).</t>
        </is>
      </c>
      <c r="K13" s="38" t="inlineStr">
        <is>
          <t>Vigente</t>
        </is>
      </c>
      <c r="L13" s="38" t="inlineStr">
        <is>
          <t>Pendente de confirmação</t>
        </is>
      </c>
      <c r="M13" s="40" t="inlineStr">
        <is>
          <t>https://www.planalto.gov.br/ccivil_03/_ato2019-2022/2020/lei/l14026.htm</t>
        </is>
      </c>
      <c r="N13" s="40" t="n"/>
      <c r="O13" s="38" t="inlineStr">
        <is>
          <t>A designar – IAT (Atividade 3.2.2)</t>
        </is>
      </c>
      <c r="P13" s="39" t="n"/>
      <c r="Q13" s="38" t="inlineStr">
        <is>
          <t>Lei de alteração: as regras vigentes estão nos textos compilados das Leis nº 11.445/2007 e nº 11.107/2005.</t>
        </is>
      </c>
    </row>
    <row r="14" ht="51" customHeight="1">
      <c r="A14" s="38" t="inlineStr">
        <is>
          <t>N-010</t>
        </is>
      </c>
      <c r="B14" s="38" t="inlineStr">
        <is>
          <t>Federal</t>
        </is>
      </c>
      <c r="C14" s="38" t="inlineStr">
        <is>
          <t>Lei</t>
        </is>
      </c>
      <c r="D14" s="38" t="inlineStr">
        <is>
          <t>14.133</t>
        </is>
      </c>
      <c r="E14" s="38" t="inlineStr">
        <is>
          <t>2021</t>
        </is>
      </c>
      <c r="F14" s="39" t="n">
        <v>44287</v>
      </c>
      <c r="G14" s="38" t="inlineStr">
        <is>
          <t>Lei nº 14.133, de 1º de abril de 2021. Lei de Licitações e Contratos Administrativos.</t>
        </is>
      </c>
      <c r="H14" s="38" t="inlineStr">
        <is>
          <t>Presidência da República</t>
        </is>
      </c>
      <c r="I14" s="38" t="inlineStr">
        <is>
          <t>Aquisições</t>
        </is>
      </c>
      <c r="J14" s="38" t="inlineStr">
        <is>
          <t>Definição do regime de contratação integrada ou semi-integrada (art. 6º, XXXIII) das obras de água (Ação 3.2.2.3, Etapa 3).</t>
        </is>
      </c>
      <c r="K14" s="38" t="inlineStr">
        <is>
          <t>A verificar</t>
        </is>
      </c>
      <c r="L14" s="38" t="inlineStr">
        <is>
          <t>Pendente de confirmação</t>
        </is>
      </c>
      <c r="M14" s="40" t="inlineStr">
        <is>
          <t>https://www.planalto.gov.br/ccivil_03/_ato2019-2022/2021/lei/l14133.htm</t>
        </is>
      </c>
      <c r="N14" s="40" t="inlineStr">
        <is>
          <t>https://www.planalto.gov.br/ccivil_03/_ato2019-2022/2021/lei/l14133.htm</t>
        </is>
      </c>
      <c r="O14" s="38" t="inlineStr">
        <is>
          <t>A designar – IAT (Atividade 3.2.2)</t>
        </is>
      </c>
      <c r="P14" s="39" t="n"/>
      <c r="Q14" s="38" t="inlineStr">
        <is>
          <t>Citada em comentário de revisão, não no texto. Nas contratações financiadas pelo BIRD prevalece o Regulamento de Aquisições do Banco (N-003).</t>
        </is>
      </c>
    </row>
    <row r="15" ht="111" customHeight="1">
      <c r="A15" s="38" t="inlineStr">
        <is>
          <t>N-011</t>
        </is>
      </c>
      <c r="B15" s="38" t="inlineStr">
        <is>
          <t>Federal</t>
        </is>
      </c>
      <c r="C15" s="38" t="inlineStr">
        <is>
          <t>Decreto</t>
        </is>
      </c>
      <c r="D15" s="38" t="inlineStr">
        <is>
          <t>11.599</t>
        </is>
      </c>
      <c r="E15" s="38" t="inlineStr">
        <is>
          <t>2023</t>
        </is>
      </c>
      <c r="F15" s="39" t="n">
        <v>45120</v>
      </c>
      <c r="G15" s="38" t="inlineStr">
        <is>
          <t>Decreto nº 11.599, de 12 de julho de 2023. Dispõe sobre a prestação regionalizada dos serviços públicos de saneamento básico, o apoio técnico e financeiro de que trata o art. 13 da Lei nº 14.026, de 15 de julho de 2020, a alocação de recursos públicos federais e os financiamentos com recursos da União [...].</t>
        </is>
      </c>
      <c r="H15" s="38" t="inlineStr">
        <is>
          <t>Presidência da República</t>
        </is>
      </c>
      <c r="I15" s="38" t="inlineStr">
        <is>
          <t>Saneamento básico – prestação regionalizada</t>
        </is>
      </c>
      <c r="J15" s="38" t="inlineStr">
        <is>
          <t>Citado pela nota técnica do Componente 3 como respaldo aos arranjos associativos (Ação 3.2.2.1, Etapa 1, e quadro de alternativas de gestão).</t>
        </is>
      </c>
      <c r="K15" s="38" t="inlineStr">
        <is>
          <t>A verificar</t>
        </is>
      </c>
      <c r="L15" s="38" t="inlineStr">
        <is>
          <t>Pendente de confirmação</t>
        </is>
      </c>
      <c r="M15" s="40" t="inlineStr">
        <is>
          <t>https://www.planalto.gov.br/ccivil_03/_ato2023-2026/2023/decreto/d11599.htm</t>
        </is>
      </c>
      <c r="N15" s="40" t="inlineStr">
        <is>
          <t>https://www.planalto.gov.br/ccivil_03/_ato2023-2026/2023/decreto/d11599.htm</t>
        </is>
      </c>
      <c r="O15" s="38" t="inlineStr">
        <is>
          <t>A designar – IAT (Atividade 3.2.2)</t>
        </is>
      </c>
      <c r="P15" s="39" t="n"/>
      <c r="Q15" s="38" t="inlineStr">
        <is>
          <t>Conferir a aderência: o decreto trata da prestação regionalizada e do apoio técnico e financeiro da União, não de associações comunitárias. Conferir alterações posteriores.</t>
        </is>
      </c>
    </row>
    <row r="16" ht="111" customHeight="1">
      <c r="A16" s="38" t="inlineStr">
        <is>
          <t>N-012</t>
        </is>
      </c>
      <c r="B16" s="38" t="inlineStr">
        <is>
          <t>Federal</t>
        </is>
      </c>
      <c r="C16" s="38" t="inlineStr">
        <is>
          <t>Portaria</t>
        </is>
      </c>
      <c r="D16" s="38" t="inlineStr">
        <is>
          <t>2.777</t>
        </is>
      </c>
      <c r="E16" s="38" t="inlineStr">
        <is>
          <t>2025</t>
        </is>
      </c>
      <c r="F16" s="39" t="n">
        <v>45874</v>
      </c>
      <c r="G16" s="38" t="inlineStr">
        <is>
          <t>Portaria nº 2.777, de 30 de julho de 2025, da Funasa. Segundo o portal da Funasa, trata da seleção de propostas de sistemas de abastecimento de água, de esgotamento sanitário e de melhorias sanitárias domiciliares em áreas rurais (ementa a transcrever do Diário Oficial da União).</t>
        </is>
      </c>
      <c r="H16" s="38" t="inlineStr">
        <is>
          <t>Ministério da Saúde – Fundação Nacional de Saúde (Funasa)</t>
        </is>
      </c>
      <c r="I16" s="38" t="inlineStr">
        <is>
          <t>Saneamento rural – investimentos</t>
        </is>
      </c>
      <c r="J16" s="38" t="inlineStr">
        <is>
          <t>Citada pela nota técnica do Componente 3 como diretriz que valida o modelo de centrais e do SISAR (Ação 3.2.2.1, Etapa 1, e quadro de alternativas de gestão).</t>
        </is>
      </c>
      <c r="K16" s="38" t="inlineStr">
        <is>
          <t>A verificar</t>
        </is>
      </c>
      <c r="L16" s="38" t="inlineStr">
        <is>
          <t>Pendente de confirmação</t>
        </is>
      </c>
      <c r="M16" s="40" t="inlineStr">
        <is>
          <t>https://bvs.saude.gov.br/bvs/saudelegis/funasa/2025/prt2777_05_08_2025.html</t>
        </is>
      </c>
      <c r="N16" s="40" t="n"/>
      <c r="O16" s="38" t="inlineStr">
        <is>
          <t>A designar – IAT (Atividade 3.2.2)</t>
        </is>
      </c>
      <c r="P16" s="39" t="n"/>
      <c r="Q16" s="38" t="inlineStr">
        <is>
          <t>Endereço indicado na nota técnica; a data de publicação foi inferida desse endereço. Consulta preliminar em 23/10/2026, em fontes secundárias; o acesso aos portais oficiais não estava disponível. O portal da Funasa a apresenta como seleção de propostas, com alterações posteriores, e não como diretriz de modelo de gestão: se confirmado, ajustar o texto do MOP.</t>
        </is>
      </c>
    </row>
    <row r="17" ht="96" customHeight="1">
      <c r="A17" s="38" t="inlineStr">
        <is>
          <t>N-013</t>
        </is>
      </c>
      <c r="B17" s="38" t="inlineStr">
        <is>
          <t>Federal</t>
        </is>
      </c>
      <c r="C17" s="38" t="inlineStr">
        <is>
          <t>Portaria</t>
        </is>
      </c>
      <c r="D17" s="38" t="inlineStr">
        <is>
          <t>888</t>
        </is>
      </c>
      <c r="E17" s="38" t="inlineStr">
        <is>
          <t>2021</t>
        </is>
      </c>
      <c r="F17" s="39" t="n">
        <v>44323</v>
      </c>
      <c r="G17" s="38" t="inlineStr">
        <is>
          <t>Portaria GM/MS nº 888, de 4 de maio de 2021. Altera o Anexo XX da Portaria de Consolidação GM/MS nº 5, de 28 de setembro de 2017, para dispor sobre os procedimentos de controle e de vigilância da qualidade da água para consumo humano e seu padrão de potabilidade.</t>
        </is>
      </c>
      <c r="H17" s="38" t="inlineStr">
        <is>
          <t>Ministério da Saúde</t>
        </is>
      </c>
      <c r="I17" s="38" t="inlineStr">
        <is>
          <t>Qualidade da água – potabilidade</t>
        </is>
      </c>
      <c r="J17" s="38" t="inlineStr">
        <is>
          <t>Padrão de potabilidade nos testes de entrega, nos critérios de aceite e no acompanhamento da água distribuída (Ações 3.2.2.3 e 3.2.2.4).</t>
        </is>
      </c>
      <c r="K17" s="38" t="inlineStr">
        <is>
          <t>A verificar</t>
        </is>
      </c>
      <c r="L17" s="38" t="inlineStr">
        <is>
          <t>Pendente de confirmação</t>
        </is>
      </c>
      <c r="M17" s="40" t="inlineStr">
        <is>
          <t>https://bvsms.saude.gov.br/bvs/saudelegis/gm/2021/prt0888_07_05_2021.html</t>
        </is>
      </c>
      <c r="N17" s="40" t="inlineStr">
        <is>
          <t>https://bvsms.saude.gov.br/bvs/saudelegis/gm/2017/prc0005_03_10_2017.html</t>
        </is>
      </c>
      <c r="O17" s="38" t="inlineStr">
        <is>
          <t>A designar – IAT (Atividade 3.2.2)</t>
        </is>
      </c>
      <c r="P17" s="39" t="n"/>
      <c r="Q17" s="38" t="inlineStr">
        <is>
          <t>O texto vigente está no Anexo XX da Portaria de Consolidação nº 5/2017 (N-014). Fonte secundária indica alteração pela Portaria GM/MS nº 2.472/2021; conferir.</t>
        </is>
      </c>
    </row>
    <row r="18" ht="81" customHeight="1">
      <c r="A18" s="38" t="inlineStr">
        <is>
          <t>N-014</t>
        </is>
      </c>
      <c r="B18" s="38" t="inlineStr">
        <is>
          <t>Federal</t>
        </is>
      </c>
      <c r="C18" s="38" t="inlineStr">
        <is>
          <t>Portaria</t>
        </is>
      </c>
      <c r="D18" s="38" t="inlineStr">
        <is>
          <t>5</t>
        </is>
      </c>
      <c r="E18" s="38" t="inlineStr">
        <is>
          <t>2017</t>
        </is>
      </c>
      <c r="F18" s="39" t="n">
        <v>43011</v>
      </c>
      <c r="G18" s="38" t="inlineStr">
        <is>
          <t>Portaria de Consolidação GM/MS nº 5, de 28 de setembro de 2017. Consolidação das normas sobre as ações e os serviços de saúde do SUS; o Anexo XX trata do controle e da vigilância da qualidade da água para consumo humano.</t>
        </is>
      </c>
      <c r="H18" s="38" t="inlineStr">
        <is>
          <t>Ministério da Saúde</t>
        </is>
      </c>
      <c r="I18" s="38" t="inlineStr">
        <is>
          <t>Qualidade da água – potabilidade</t>
        </is>
      </c>
      <c r="J18" s="38" t="inlineStr">
        <is>
          <t>Texto consolidado do padrão de potabilidade (Anexo XX), citado na Ação 3.2.2.3, item 10.</t>
        </is>
      </c>
      <c r="K18" s="38" t="inlineStr">
        <is>
          <t>Alterada / consolidada</t>
        </is>
      </c>
      <c r="L18" s="38" t="inlineStr">
        <is>
          <t>Pendente de confirmação</t>
        </is>
      </c>
      <c r="M18" s="40" t="inlineStr">
        <is>
          <t>https://bvsms.saude.gov.br/bvs/saudelegis/gm/2017/prc0005_03_10_2017.html</t>
        </is>
      </c>
      <c r="N18" s="40" t="inlineStr">
        <is>
          <t>https://bvsms.saude.gov.br/bvs/saudelegis/gm/2017/prc0005_03_10_2017.html</t>
        </is>
      </c>
      <c r="O18" s="38" t="inlineStr">
        <is>
          <t>A designar – IAT (Atividade 3.2.2)</t>
        </is>
      </c>
      <c r="P18" s="39" t="n"/>
      <c r="Q18" s="38" t="inlineStr">
        <is>
          <t>Citar no MOP o Anexo XX, com a redação dada pela Portaria GM/MS nº 888/2021.</t>
        </is>
      </c>
    </row>
    <row r="19" ht="51" customHeight="1">
      <c r="A19" s="38" t="inlineStr">
        <is>
          <t>N-015</t>
        </is>
      </c>
      <c r="B19" s="38" t="inlineStr">
        <is>
          <t>Federal</t>
        </is>
      </c>
      <c r="C19" s="38" t="inlineStr">
        <is>
          <t>Portaria</t>
        </is>
      </c>
      <c r="D19" s="38" t="inlineStr">
        <is>
          <t>3.174</t>
        </is>
      </c>
      <c r="E19" s="38" t="inlineStr">
        <is>
          <t>2019</t>
        </is>
      </c>
      <c r="F19" s="39" t="n">
        <v>43803</v>
      </c>
      <c r="G19" s="38" t="inlineStr">
        <is>
          <t>Portaria nº 3.174, de 2 de dezembro de 2019, do Ministério da Saúde. Dispõe sobre o Programa Nacional de Saneamento Rural (PNSR).</t>
        </is>
      </c>
      <c r="H19" s="38" t="inlineStr">
        <is>
          <t>Ministério da Saúde</t>
        </is>
      </c>
      <c r="I19" s="38" t="inlineStr">
        <is>
          <t>Saneamento rural – política nacional</t>
        </is>
      </c>
      <c r="J19" s="38" t="inlineStr">
        <is>
          <t>Referência para os eixos de gestão, educação e participação social e tecnologia (Ações 3.2.2.1 e 3.2.2.2).</t>
        </is>
      </c>
      <c r="K19" s="38" t="inlineStr">
        <is>
          <t>A verificar</t>
        </is>
      </c>
      <c r="L19" s="38" t="inlineStr">
        <is>
          <t>Pendente de confirmação</t>
        </is>
      </c>
      <c r="M19" s="40" t="n"/>
      <c r="N19" s="40" t="n"/>
      <c r="O19" s="38" t="inlineStr">
        <is>
          <t>A designar – IAT (Atividade 3.2.2)</t>
        </is>
      </c>
      <c r="P19" s="39" t="n"/>
      <c r="Q19" s="38" t="inlineStr">
        <is>
          <t>O MOP cita o documento do PNSR (BRASIL, 2019, Funasa); o número e a data da portaria vêm de fontes secundárias. Localizar no Saúde Legis.</t>
        </is>
      </c>
    </row>
    <row r="20" ht="81" customHeight="1">
      <c r="A20" s="38" t="inlineStr">
        <is>
          <t>N-016</t>
        </is>
      </c>
      <c r="B20" s="38" t="inlineStr">
        <is>
          <t>Outra</t>
        </is>
      </c>
      <c r="C20" s="38" t="inlineStr">
        <is>
          <t>Norma técnica</t>
        </is>
      </c>
      <c r="D20" s="38" t="inlineStr">
        <is>
          <t>17076</t>
        </is>
      </c>
      <c r="E20" s="38" t="inlineStr">
        <is>
          <t>2024</t>
        </is>
      </c>
      <c r="F20" s="39" t="n"/>
      <c r="G20" s="38" t="inlineStr">
        <is>
          <t>ABNT NBR 17076:2024 – Projeto de sistema de tratamento de esgoto de menor porte – Requisitos.</t>
        </is>
      </c>
      <c r="H20" s="38" t="inlineStr">
        <is>
          <t>Associação Brasileira de Normas Técnicas (ABNT)</t>
        </is>
      </c>
      <c r="I20" s="38" t="inlineStr">
        <is>
          <t>Esgotamento sanitário – soluções individuais</t>
        </is>
      </c>
      <c r="J20" s="38" t="inlineStr">
        <is>
          <t>Projeto, instalação e aceite das soluções individuais de esgotamento sanitário (Ações 3.2.2.5 e 3.2.2.6).</t>
        </is>
      </c>
      <c r="K20" s="38" t="inlineStr">
        <is>
          <t>Vigente</t>
        </is>
      </c>
      <c r="L20" s="38" t="inlineStr">
        <is>
          <t>Pendente de confirmação</t>
        </is>
      </c>
      <c r="M20" s="40" t="inlineStr">
        <is>
          <t>https://www.abntcatalogo.com.br/</t>
        </is>
      </c>
      <c r="N20" s="40" t="n"/>
      <c r="O20" s="38" t="inlineStr">
        <is>
          <t>A designar – IAT (Atividade 3.2.2)</t>
        </is>
      </c>
      <c r="P20" s="39" t="n"/>
      <c r="Q20" s="38" t="inlineStr">
        <is>
          <t>Publicada em abr. 2024. Aplica-se a vazões de até 12.000 L/dia e carga orgânica de até 3,80 kg DBO/dia. Catálogo de terceiros registra errata ou nova edição em 05/2025; conferir a edição vigente no Catálogo ABNT.</t>
        </is>
      </c>
    </row>
    <row r="21" ht="36" customHeight="1">
      <c r="A21" s="38" t="inlineStr">
        <is>
          <t>N-017</t>
        </is>
      </c>
      <c r="B21" s="38" t="inlineStr">
        <is>
          <t>Outra</t>
        </is>
      </c>
      <c r="C21" s="38" t="inlineStr">
        <is>
          <t>Norma técnica</t>
        </is>
      </c>
      <c r="D21" s="38" t="inlineStr">
        <is>
          <t>7229</t>
        </is>
      </c>
      <c r="E21" s="38" t="inlineStr">
        <is>
          <t>1993</t>
        </is>
      </c>
      <c r="F21" s="39" t="n"/>
      <c r="G21" s="38" t="inlineStr">
        <is>
          <t>ABNT NBR 7229:1993 – Projeto, construção e operação de sistemas de tanques sépticos.</t>
        </is>
      </c>
      <c r="H21" s="38" t="inlineStr">
        <is>
          <t>Associação Brasileira de Normas Técnicas (ABNT)</t>
        </is>
      </c>
      <c r="I21" s="38" t="inlineStr">
        <is>
          <t>Esgotamento sanitário – soluções individuais</t>
        </is>
      </c>
      <c r="J21" s="38" t="inlineStr">
        <is>
          <t>Citada como norma substituída pela ABNT NBR 17076:2024 (Ação 3.2.2.5, item 1).</t>
        </is>
      </c>
      <c r="K21" s="38" t="inlineStr">
        <is>
          <t>Revogada</t>
        </is>
      </c>
      <c r="L21" s="38" t="inlineStr">
        <is>
          <t>Pendente de confirmação</t>
        </is>
      </c>
      <c r="M21" s="40" t="inlineStr">
        <is>
          <t>https://www.abntcatalogo.com.br/</t>
        </is>
      </c>
      <c r="N21" s="40" t="n"/>
      <c r="O21" s="38" t="inlineStr">
        <is>
          <t>A designar – IAT (Atividade 3.2.2)</t>
        </is>
      </c>
      <c r="P21" s="39" t="n"/>
      <c r="Q21" s="38" t="inlineStr">
        <is>
          <t>Cancelada e substituída pela NBR 17076:2024 (confirmar no Catálogo ABNT); não usar em projetos.</t>
        </is>
      </c>
    </row>
    <row r="22" ht="66" customHeight="1">
      <c r="A22" s="38" t="inlineStr">
        <is>
          <t>N-018</t>
        </is>
      </c>
      <c r="B22" s="38" t="inlineStr">
        <is>
          <t>Outra</t>
        </is>
      </c>
      <c r="C22" s="38" t="inlineStr">
        <is>
          <t>Norma técnica</t>
        </is>
      </c>
      <c r="D22" s="38" t="inlineStr">
        <is>
          <t>13969</t>
        </is>
      </c>
      <c r="E22" s="38" t="inlineStr">
        <is>
          <t>1997</t>
        </is>
      </c>
      <c r="F22" s="39" t="n"/>
      <c r="G22" s="38" t="inlineStr">
        <is>
          <t>ABNT NBR 13969:1997 – Tanques sépticos – Unidades de tratamento complementar e disposição final dos efluentes líquidos – Projeto, construção e operação.</t>
        </is>
      </c>
      <c r="H22" s="38" t="inlineStr">
        <is>
          <t>Associação Brasileira de Normas Técnicas (ABNT)</t>
        </is>
      </c>
      <c r="I22" s="38" t="inlineStr">
        <is>
          <t>Esgotamento sanitário – soluções individuais</t>
        </is>
      </c>
      <c r="J22" s="38" t="inlineStr">
        <is>
          <t>Citada como norma substituída pela ABNT NBR 17076:2024 (Ação 3.2.2.5, item 1).</t>
        </is>
      </c>
      <c r="K22" s="38" t="inlineStr">
        <is>
          <t>Revogada</t>
        </is>
      </c>
      <c r="L22" s="38" t="inlineStr">
        <is>
          <t>Pendente de confirmação</t>
        </is>
      </c>
      <c r="M22" s="40" t="inlineStr">
        <is>
          <t>https://www.abntcatalogo.com.br/</t>
        </is>
      </c>
      <c r="N22" s="40" t="n"/>
      <c r="O22" s="38" t="inlineStr">
        <is>
          <t>A designar – IAT (Atividade 3.2.2)</t>
        </is>
      </c>
      <c r="P22" s="39" t="n"/>
      <c r="Q22" s="38" t="inlineStr">
        <is>
          <t>Cancelada e substituída pela NBR 17076:2024 (confirmar no Catálogo ABNT); não usar em projetos.</t>
        </is>
      </c>
    </row>
    <row r="23" ht="51" customHeight="1">
      <c r="A23" s="38" t="inlineStr">
        <is>
          <t>N-019</t>
        </is>
      </c>
      <c r="B23" s="38" t="inlineStr">
        <is>
          <t>Outra</t>
        </is>
      </c>
      <c r="C23" s="38" t="inlineStr">
        <is>
          <t>Norma técnica</t>
        </is>
      </c>
      <c r="D23" s="38" t="inlineStr">
        <is>
          <t>12212</t>
        </is>
      </c>
      <c r="E23" s="38" t="inlineStr">
        <is>
          <t>2017</t>
        </is>
      </c>
      <c r="F23" s="39" t="n"/>
      <c r="G23" s="38" t="inlineStr">
        <is>
          <t>ABNT NBR 12212:2017 – Poço tubular – Projeto de poço tubular para captação de água subterrânea – Procedimento.</t>
        </is>
      </c>
      <c r="H23" s="38" t="inlineStr">
        <is>
          <t>Associação Brasileira de Normas Técnicas (ABNT)</t>
        </is>
      </c>
      <c r="I23" s="38" t="inlineStr">
        <is>
          <t>Abastecimento de água – poços</t>
        </is>
      </c>
      <c r="J23" s="38" t="inlineStr">
        <is>
          <t>Projeto dos poços tubulares profundos (Ação 3.2.2.3, item 10).</t>
        </is>
      </c>
      <c r="K23" s="38" t="inlineStr">
        <is>
          <t>Vigente</t>
        </is>
      </c>
      <c r="L23" s="38" t="inlineStr">
        <is>
          <t>Pendente de confirmação</t>
        </is>
      </c>
      <c r="M23" s="40" t="inlineStr">
        <is>
          <t>https://www.abntcatalogo.com.br/</t>
        </is>
      </c>
      <c r="N23" s="40" t="n"/>
      <c r="O23" s="38" t="inlineStr">
        <is>
          <t>A designar – IAT (Atividade 3.2.2)</t>
        </is>
      </c>
      <c r="P23" s="39" t="n"/>
      <c r="Q23" s="38" t="inlineStr">
        <is>
          <t>Publicada em set. 2017; catálogo de terceiros registra confirmação da edição em 01/2022. Conferir no Catálogo ABNT.</t>
        </is>
      </c>
    </row>
    <row r="24" ht="36" customHeight="1">
      <c r="A24" s="38" t="inlineStr">
        <is>
          <t>N-020</t>
        </is>
      </c>
      <c r="B24" s="38" t="inlineStr">
        <is>
          <t>Outra</t>
        </is>
      </c>
      <c r="C24" s="38" t="inlineStr">
        <is>
          <t>Norma técnica</t>
        </is>
      </c>
      <c r="D24" s="38" t="inlineStr">
        <is>
          <t>12244</t>
        </is>
      </c>
      <c r="E24" s="38" t="inlineStr">
        <is>
          <t>2006</t>
        </is>
      </c>
      <c r="F24" s="39" t="n"/>
      <c r="G24" s="38" t="inlineStr">
        <is>
          <t>ABNT NBR 12244:2006 – Poço tubular – Construção de poço tubular para captação de água subterrânea.</t>
        </is>
      </c>
      <c r="H24" s="38" t="inlineStr">
        <is>
          <t>Associação Brasileira de Normas Técnicas (ABNT)</t>
        </is>
      </c>
      <c r="I24" s="38" t="inlineStr">
        <is>
          <t>Abastecimento de água – poços</t>
        </is>
      </c>
      <c r="J24" s="38" t="inlineStr">
        <is>
          <t>Construção dos poços tubulares profundos (Ação 3.2.2.3, item 10).</t>
        </is>
      </c>
      <c r="K24" s="38" t="inlineStr">
        <is>
          <t>Vigente</t>
        </is>
      </c>
      <c r="L24" s="38" t="inlineStr">
        <is>
          <t>Pendente de confirmação</t>
        </is>
      </c>
      <c r="M24" s="40" t="inlineStr">
        <is>
          <t>https://www.abntcatalogo.com.br/</t>
        </is>
      </c>
      <c r="N24" s="40" t="n"/>
      <c r="O24" s="38" t="inlineStr">
        <is>
          <t>A designar – IAT (Atividade 3.2.2)</t>
        </is>
      </c>
      <c r="P24" s="39" t="n"/>
      <c r="Q24" s="38" t="inlineStr">
        <is>
          <t>Publicada em mar. 2006. Conferir no Catálogo ABNT.</t>
        </is>
      </c>
    </row>
    <row r="25" ht="51" customHeight="1">
      <c r="A25" s="38" t="inlineStr">
        <is>
          <t>N-021</t>
        </is>
      </c>
      <c r="B25" s="38" t="inlineStr">
        <is>
          <t>Estadual - PR</t>
        </is>
      </c>
      <c r="C25" s="38" t="inlineStr">
        <is>
          <t>Lei</t>
        </is>
      </c>
      <c r="D25" s="38" t="inlineStr">
        <is>
          <t>12.726</t>
        </is>
      </c>
      <c r="E25" s="38" t="inlineStr">
        <is>
          <t>1999</t>
        </is>
      </c>
      <c r="F25" s="39" t="n"/>
      <c r="G25" s="38" t="inlineStr">
        <is>
          <t>Lei nº 12.726, de 26 de novembro de 1999. Institui a Política Estadual de Recursos Hídricos e adota outras providências.</t>
        </is>
      </c>
      <c r="H25" s="38" t="inlineStr">
        <is>
          <t>Assembleia Legislativa e Governo do Estado do Paraná</t>
        </is>
      </c>
      <c r="I25" s="38" t="inlineStr">
        <is>
          <t>Recursos hídricos – outorga</t>
        </is>
      </c>
      <c r="J25" s="38" t="inlineStr">
        <is>
          <t>Outorga estadual de direito de uso da água dos poços, emitida pelo IAT (Ação 3.2.2.3, item 10).</t>
        </is>
      </c>
      <c r="K25" s="38" t="inlineStr">
        <is>
          <t>A verificar</t>
        </is>
      </c>
      <c r="L25" s="38" t="inlineStr">
        <is>
          <t>Pendente de confirmação</t>
        </is>
      </c>
      <c r="M25" s="40" t="inlineStr">
        <is>
          <t>https://www.legislacao.pr.gov.br/</t>
        </is>
      </c>
      <c r="N25" s="40" t="n"/>
      <c r="O25" s="38" t="inlineStr">
        <is>
          <t>A designar – IAT (Atividade 3.2.2)</t>
        </is>
      </c>
      <c r="P25" s="39" t="n"/>
      <c r="Q25" s="38" t="inlineStr">
        <is>
          <t>Conferir o texto compilado e a regulamentação da outorga no Sistema Estadual de Legislação.</t>
        </is>
      </c>
    </row>
    <row r="26" ht="51" customHeight="1">
      <c r="A26" s="38" t="inlineStr">
        <is>
          <t>N-022</t>
        </is>
      </c>
      <c r="B26" s="38" t="inlineStr">
        <is>
          <t>Estadual - PR</t>
        </is>
      </c>
      <c r="C26" s="38" t="inlineStr">
        <is>
          <t>Outro</t>
        </is>
      </c>
      <c r="D26" s="38" t="n"/>
      <c r="E26" s="38" t="n"/>
      <c r="F26" s="39" t="n"/>
      <c r="G26" s="38" t="inlineStr">
        <is>
          <t>Regulamento de Licitações e Contratos da Companhia de Saneamento do Paraná (Sanepar).</t>
        </is>
      </c>
      <c r="H26" s="38" t="inlineStr">
        <is>
          <t>Sanepar</t>
        </is>
      </c>
      <c r="I26" s="38" t="inlineStr">
        <is>
          <t>Aquisições – contrapartida</t>
        </is>
      </c>
      <c r="J26" s="38" t="inlineStr">
        <is>
          <t>Aquisições feitas pela Sanepar com recursos de contrapartida no Programa Sanepar Rural (Ação 3.2.2.4).</t>
        </is>
      </c>
      <c r="K26" s="38" t="inlineStr">
        <is>
          <t>A verificar</t>
        </is>
      </c>
      <c r="L26" s="38" t="inlineStr">
        <is>
          <t>Não conferido</t>
        </is>
      </c>
      <c r="M26" s="40" t="n"/>
      <c r="N26" s="40" t="n"/>
      <c r="O26" s="38" t="inlineStr">
        <is>
          <t>A designar – IAT (Atividade 3.2.2)</t>
        </is>
      </c>
      <c r="P26" s="39" t="n"/>
      <c r="Q26" s="38" t="inlineStr">
        <is>
          <t>Informar a versão vigente (base: Lei nº 13.303/2016). Confirmar com a UGP e o Banco Mundial as regras aplicáveis às despesas de contrapartida.</t>
        </is>
      </c>
    </row>
    <row r="27" ht="23" customHeight="1">
      <c r="F27" s="41" t="n"/>
      <c r="M27" s="37" t="n"/>
      <c r="N27" s="37" t="n"/>
      <c r="P27" s="41" t="n"/>
    </row>
    <row r="28" ht="23" customHeight="1">
      <c r="F28" s="41" t="n"/>
      <c r="M28" s="37" t="n"/>
      <c r="N28" s="37" t="n"/>
      <c r="P28" s="41" t="n"/>
    </row>
    <row r="29" ht="23" customHeight="1">
      <c r="F29" s="41" t="n"/>
      <c r="M29" s="37" t="n"/>
      <c r="N29" s="37" t="n"/>
      <c r="P29" s="41" t="n"/>
    </row>
    <row r="30" ht="23" customHeight="1">
      <c r="F30" s="41" t="n"/>
      <c r="M30" s="37" t="n"/>
      <c r="N30" s="37" t="n"/>
      <c r="P30" s="41" t="n"/>
    </row>
    <row r="31" ht="23" customHeight="1">
      <c r="F31" s="41" t="n"/>
      <c r="M31" s="37" t="n"/>
      <c r="N31" s="37" t="n"/>
      <c r="P31" s="41" t="n"/>
    </row>
    <row r="32" ht="23" customHeight="1">
      <c r="F32" s="41" t="n"/>
      <c r="M32" s="37" t="n"/>
      <c r="N32" s="37" t="n"/>
      <c r="P32" s="41" t="n"/>
    </row>
    <row r="33" ht="23" customHeight="1">
      <c r="F33" s="41" t="n"/>
      <c r="M33" s="37" t="n"/>
      <c r="N33" s="37" t="n"/>
      <c r="P33" s="41" t="n"/>
    </row>
    <row r="34" ht="23" customHeight="1">
      <c r="F34" s="41" t="n"/>
      <c r="M34" s="37" t="n"/>
      <c r="N34" s="37" t="n"/>
      <c r="P34" s="41" t="n"/>
    </row>
    <row r="35" ht="23" customHeight="1">
      <c r="F35" s="41" t="n"/>
      <c r="M35" s="37" t="n"/>
      <c r="N35" s="37" t="n"/>
      <c r="P35" s="41" t="n"/>
    </row>
    <row r="36" ht="23" customHeight="1">
      <c r="F36" s="41" t="n"/>
      <c r="M36" s="37" t="n"/>
      <c r="N36" s="37" t="n"/>
      <c r="P36" s="41" t="n"/>
    </row>
    <row r="37" ht="23" customHeight="1">
      <c r="F37" s="41" t="n"/>
      <c r="M37" s="37" t="n"/>
      <c r="N37" s="37" t="n"/>
      <c r="P37" s="41" t="n"/>
    </row>
    <row r="38" ht="23" customHeight="1">
      <c r="F38" s="41" t="n"/>
      <c r="M38" s="37" t="n"/>
      <c r="N38" s="37" t="n"/>
      <c r="P38" s="41" t="n"/>
    </row>
    <row r="39" ht="23" customHeight="1">
      <c r="F39" s="41" t="n"/>
      <c r="M39" s="37" t="n"/>
      <c r="N39" s="37" t="n"/>
      <c r="P39" s="41" t="n"/>
    </row>
    <row r="40" ht="23" customHeight="1">
      <c r="F40" s="41" t="n"/>
      <c r="M40" s="37" t="n"/>
      <c r="N40" s="37" t="n"/>
      <c r="P40" s="41" t="n"/>
    </row>
    <row r="41" ht="23" customHeight="1">
      <c r="F41" s="41" t="n"/>
      <c r="M41" s="37" t="n"/>
      <c r="N41" s="37" t="n"/>
      <c r="P41" s="41" t="n"/>
    </row>
    <row r="42" ht="23" customHeight="1">
      <c r="F42" s="41" t="n"/>
      <c r="M42" s="37" t="n"/>
      <c r="N42" s="37" t="n"/>
      <c r="P42" s="41" t="n"/>
    </row>
    <row r="43" ht="23" customHeight="1">
      <c r="F43" s="41" t="n"/>
      <c r="M43" s="37" t="n"/>
      <c r="N43" s="37" t="n"/>
      <c r="P43" s="41" t="n"/>
    </row>
    <row r="44" ht="23" customHeight="1">
      <c r="F44" s="41" t="n"/>
      <c r="M44" s="37" t="n"/>
      <c r="N44" s="37" t="n"/>
      <c r="P44" s="41" t="n"/>
    </row>
    <row r="45" ht="23" customHeight="1">
      <c r="F45" s="41" t="n"/>
      <c r="M45" s="37" t="n"/>
      <c r="N45" s="37" t="n"/>
      <c r="P45" s="41" t="n"/>
    </row>
    <row r="46" ht="23" customHeight="1">
      <c r="F46" s="41" t="n"/>
      <c r="M46" s="37" t="n"/>
      <c r="N46" s="37" t="n"/>
      <c r="P46" s="41" t="n"/>
    </row>
    <row r="47" ht="23" customHeight="1">
      <c r="F47" s="41" t="n"/>
      <c r="M47" s="37" t="n"/>
      <c r="N47" s="37" t="n"/>
      <c r="P47" s="41" t="n"/>
    </row>
    <row r="48" ht="23" customHeight="1">
      <c r="F48" s="41" t="n"/>
      <c r="M48" s="37" t="n"/>
      <c r="N48" s="37" t="n"/>
      <c r="P48" s="41" t="n"/>
    </row>
    <row r="49" ht="23" customHeight="1">
      <c r="F49" s="41" t="n"/>
      <c r="M49" s="37" t="n"/>
      <c r="N49" s="37" t="n"/>
      <c r="P49" s="41" t="n"/>
    </row>
    <row r="50" ht="23" customHeight="1">
      <c r="F50" s="41" t="n"/>
      <c r="M50" s="37" t="n"/>
      <c r="N50" s="37" t="n"/>
      <c r="P50" s="41" t="n"/>
    </row>
    <row r="51" ht="23" customHeight="1">
      <c r="F51" s="41" t="n"/>
      <c r="M51" s="37" t="n"/>
      <c r="N51" s="37" t="n"/>
      <c r="P51" s="41" t="n"/>
    </row>
    <row r="52" ht="23" customHeight="1">
      <c r="F52" s="41" t="n"/>
      <c r="M52" s="37" t="n"/>
      <c r="N52" s="37" t="n"/>
      <c r="P52" s="41" t="n"/>
    </row>
    <row r="53" ht="23" customHeight="1">
      <c r="F53" s="41" t="n"/>
      <c r="M53" s="37" t="n"/>
      <c r="N53" s="37" t="n"/>
      <c r="P53" s="41" t="n"/>
    </row>
    <row r="54" ht="23" customHeight="1">
      <c r="F54" s="41" t="n"/>
      <c r="M54" s="37" t="n"/>
      <c r="N54" s="37" t="n"/>
      <c r="P54" s="41" t="n"/>
    </row>
    <row r="55" ht="23" customHeight="1">
      <c r="F55" s="41" t="n"/>
      <c r="M55" s="37" t="n"/>
      <c r="N55" s="37" t="n"/>
      <c r="P55" s="41" t="n"/>
    </row>
    <row r="56" ht="23" customHeight="1">
      <c r="F56" s="41" t="n"/>
      <c r="M56" s="37" t="n"/>
      <c r="N56" s="37" t="n"/>
      <c r="P56" s="41" t="n"/>
    </row>
    <row r="57" ht="23" customHeight="1">
      <c r="F57" s="41" t="n"/>
      <c r="M57" s="37" t="n"/>
      <c r="N57" s="37" t="n"/>
      <c r="P57" s="41" t="n"/>
    </row>
    <row r="58" ht="23" customHeight="1">
      <c r="F58" s="41" t="n"/>
      <c r="M58" s="37" t="n"/>
      <c r="N58" s="37" t="n"/>
      <c r="P58" s="41" t="n"/>
    </row>
    <row r="59" ht="23" customHeight="1">
      <c r="F59" s="41" t="n"/>
      <c r="M59" s="37" t="n"/>
      <c r="N59" s="37" t="n"/>
      <c r="P59" s="41" t="n"/>
    </row>
    <row r="60" ht="23" customHeight="1">
      <c r="F60" s="41" t="n"/>
      <c r="M60" s="37" t="n"/>
      <c r="N60" s="37" t="n"/>
      <c r="P60" s="41" t="n"/>
    </row>
    <row r="61" ht="23" customHeight="1">
      <c r="F61" s="41" t="n"/>
      <c r="M61" s="37" t="n"/>
      <c r="N61" s="37" t="n"/>
      <c r="P61" s="41" t="n"/>
    </row>
    <row r="62" ht="23" customHeight="1">
      <c r="F62" s="41" t="n"/>
      <c r="M62" s="37" t="n"/>
      <c r="N62" s="37" t="n"/>
      <c r="P62" s="41" t="n"/>
    </row>
    <row r="63" ht="23" customHeight="1">
      <c r="F63" s="41" t="n"/>
      <c r="M63" s="37" t="n"/>
      <c r="N63" s="37" t="n"/>
      <c r="P63" s="41" t="n"/>
    </row>
    <row r="64" ht="23" customHeight="1">
      <c r="F64" s="41" t="n"/>
      <c r="M64" s="37" t="n"/>
      <c r="N64" s="37" t="n"/>
      <c r="P64" s="41" t="n"/>
    </row>
    <row r="65" ht="23" customHeight="1">
      <c r="F65" s="41" t="n"/>
      <c r="M65" s="37" t="n"/>
      <c r="N65" s="37" t="n"/>
      <c r="P65" s="41" t="n"/>
    </row>
    <row r="66" ht="23" customHeight="1">
      <c r="F66" s="41" t="n"/>
      <c r="M66" s="37" t="n"/>
      <c r="N66" s="37" t="n"/>
      <c r="P66" s="41" t="n"/>
    </row>
    <row r="67" ht="23" customHeight="1">
      <c r="F67" s="41" t="n"/>
      <c r="M67" s="37" t="n"/>
      <c r="N67" s="37" t="n"/>
      <c r="P67" s="41" t="n"/>
    </row>
    <row r="68" ht="23" customHeight="1">
      <c r="F68" s="41" t="n"/>
      <c r="M68" s="37" t="n"/>
      <c r="N68" s="37" t="n"/>
      <c r="P68" s="41" t="n"/>
    </row>
    <row r="69" ht="23" customHeight="1">
      <c r="F69" s="41" t="n"/>
      <c r="M69" s="37" t="n"/>
      <c r="N69" s="37" t="n"/>
      <c r="P69" s="41" t="n"/>
    </row>
    <row r="70" ht="23" customHeight="1">
      <c r="F70" s="41" t="n"/>
      <c r="M70" s="37" t="n"/>
      <c r="N70" s="37" t="n"/>
      <c r="P70" s="41" t="n"/>
    </row>
    <row r="71" ht="23" customHeight="1">
      <c r="F71" s="41" t="n"/>
      <c r="M71" s="37" t="n"/>
      <c r="N71" s="37" t="n"/>
      <c r="P71" s="41" t="n"/>
    </row>
    <row r="72" ht="23" customHeight="1">
      <c r="F72" s="41" t="n"/>
      <c r="M72" s="37" t="n"/>
      <c r="N72" s="37" t="n"/>
      <c r="P72" s="41" t="n"/>
    </row>
    <row r="73" ht="23" customHeight="1">
      <c r="F73" s="41" t="n"/>
      <c r="M73" s="37" t="n"/>
      <c r="N73" s="37" t="n"/>
      <c r="P73" s="41" t="n"/>
    </row>
    <row r="74" ht="23" customHeight="1">
      <c r="F74" s="41" t="n"/>
      <c r="M74" s="37" t="n"/>
      <c r="N74" s="37" t="n"/>
      <c r="P74" s="41" t="n"/>
    </row>
    <row r="75" ht="23" customHeight="1">
      <c r="F75" s="41" t="n"/>
      <c r="M75" s="37" t="n"/>
      <c r="N75" s="37" t="n"/>
      <c r="P75" s="41" t="n"/>
    </row>
    <row r="76" ht="23" customHeight="1">
      <c r="F76" s="41" t="n"/>
      <c r="M76" s="37" t="n"/>
      <c r="N76" s="37" t="n"/>
      <c r="P76" s="41" t="n"/>
    </row>
    <row r="77" ht="23" customHeight="1">
      <c r="F77" s="41" t="n"/>
      <c r="M77" s="37" t="n"/>
      <c r="N77" s="37" t="n"/>
      <c r="P77" s="41" t="n"/>
    </row>
    <row r="78" ht="23" customHeight="1">
      <c r="F78" s="41" t="n"/>
      <c r="M78" s="37" t="n"/>
      <c r="N78" s="37" t="n"/>
      <c r="P78" s="41" t="n"/>
    </row>
    <row r="79" ht="23" customHeight="1">
      <c r="F79" s="41" t="n"/>
      <c r="M79" s="37" t="n"/>
      <c r="N79" s="37" t="n"/>
      <c r="P79" s="41" t="n"/>
    </row>
    <row r="80" ht="23" customHeight="1">
      <c r="F80" s="41" t="n"/>
      <c r="M80" s="37" t="n"/>
      <c r="N80" s="37" t="n"/>
      <c r="P80" s="41" t="n"/>
    </row>
    <row r="81" ht="23" customHeight="1">
      <c r="F81" s="41" t="n"/>
      <c r="M81" s="37" t="n"/>
      <c r="N81" s="37" t="n"/>
      <c r="P81" s="41" t="n"/>
    </row>
    <row r="82" ht="23" customHeight="1">
      <c r="F82" s="41" t="n"/>
      <c r="M82" s="37" t="n"/>
      <c r="N82" s="37" t="n"/>
      <c r="P82" s="41" t="n"/>
    </row>
    <row r="83" ht="23" customHeight="1">
      <c r="F83" s="41" t="n"/>
      <c r="M83" s="37" t="n"/>
      <c r="N83" s="37" t="n"/>
      <c r="P83" s="41" t="n"/>
    </row>
    <row r="84" ht="23" customHeight="1">
      <c r="F84" s="41" t="n"/>
      <c r="M84" s="37" t="n"/>
      <c r="N84" s="37" t="n"/>
      <c r="P84" s="41" t="n"/>
    </row>
    <row r="85" ht="23" customHeight="1">
      <c r="F85" s="41" t="n"/>
      <c r="M85" s="37" t="n"/>
      <c r="N85" s="37" t="n"/>
      <c r="P85" s="41" t="n"/>
    </row>
    <row r="86" ht="23" customHeight="1">
      <c r="F86" s="41" t="n"/>
      <c r="M86" s="37" t="n"/>
      <c r="N86" s="37" t="n"/>
      <c r="P86" s="41" t="n"/>
    </row>
    <row r="87" ht="23" customHeight="1">
      <c r="F87" s="41" t="n"/>
      <c r="M87" s="37" t="n"/>
      <c r="N87" s="37" t="n"/>
      <c r="P87" s="41" t="n"/>
    </row>
    <row r="88" ht="23" customHeight="1">
      <c r="F88" s="41" t="n"/>
      <c r="M88" s="37" t="n"/>
      <c r="N88" s="37" t="n"/>
      <c r="P88" s="41" t="n"/>
    </row>
    <row r="89" ht="23" customHeight="1">
      <c r="F89" s="41" t="n"/>
      <c r="M89" s="37" t="n"/>
      <c r="N89" s="37" t="n"/>
      <c r="P89" s="41" t="n"/>
    </row>
    <row r="90" ht="23" customHeight="1">
      <c r="F90" s="41" t="n"/>
      <c r="M90" s="37" t="n"/>
      <c r="N90" s="37" t="n"/>
      <c r="P90" s="41" t="n"/>
    </row>
    <row r="91" ht="23" customHeight="1">
      <c r="F91" s="41" t="n"/>
      <c r="M91" s="37" t="n"/>
      <c r="N91" s="37" t="n"/>
      <c r="P91" s="41" t="n"/>
    </row>
    <row r="92" ht="23" customHeight="1">
      <c r="F92" s="41" t="n"/>
      <c r="M92" s="37" t="n"/>
      <c r="N92" s="37" t="n"/>
      <c r="P92" s="41" t="n"/>
    </row>
    <row r="93" ht="23" customHeight="1">
      <c r="F93" s="41" t="n"/>
      <c r="M93" s="37" t="n"/>
      <c r="N93" s="37" t="n"/>
      <c r="P93" s="41" t="n"/>
    </row>
    <row r="94" ht="23" customHeight="1">
      <c r="F94" s="41" t="n"/>
      <c r="M94" s="37" t="n"/>
      <c r="N94" s="37" t="n"/>
      <c r="P94" s="41" t="n"/>
    </row>
    <row r="95" ht="23" customHeight="1">
      <c r="F95" s="41" t="n"/>
      <c r="M95" s="37" t="n"/>
      <c r="N95" s="37" t="n"/>
      <c r="P95" s="41" t="n"/>
    </row>
    <row r="96" ht="23" customHeight="1">
      <c r="F96" s="41" t="n"/>
      <c r="M96" s="37" t="n"/>
      <c r="N96" s="37" t="n"/>
      <c r="P96" s="41" t="n"/>
    </row>
    <row r="97" ht="23" customHeight="1">
      <c r="F97" s="41" t="n"/>
      <c r="M97" s="37" t="n"/>
      <c r="N97" s="37" t="n"/>
      <c r="P97" s="41" t="n"/>
    </row>
    <row r="98" ht="23" customHeight="1">
      <c r="F98" s="41" t="n"/>
      <c r="M98" s="37" t="n"/>
      <c r="N98" s="37" t="n"/>
      <c r="P98" s="41" t="n"/>
    </row>
    <row r="99" ht="23" customHeight="1">
      <c r="F99" s="41" t="n"/>
      <c r="M99" s="37" t="n"/>
      <c r="N99" s="37" t="n"/>
      <c r="P99" s="41" t="n"/>
    </row>
    <row r="100" ht="23" customHeight="1">
      <c r="F100" s="41" t="n"/>
      <c r="M100" s="37" t="n"/>
      <c r="N100" s="37" t="n"/>
      <c r="P100" s="41" t="n"/>
    </row>
    <row r="101" ht="23" customHeight="1">
      <c r="F101" s="41" t="n"/>
      <c r="M101" s="37" t="n"/>
      <c r="N101" s="37" t="n"/>
      <c r="P101" s="41" t="n"/>
    </row>
    <row r="102" ht="23" customHeight="1">
      <c r="F102" s="41" t="n"/>
      <c r="M102" s="37" t="n"/>
      <c r="N102" s="37" t="n"/>
      <c r="P102" s="41" t="n"/>
    </row>
    <row r="103" ht="23" customHeight="1">
      <c r="F103" s="41" t="n"/>
      <c r="M103" s="37" t="n"/>
      <c r="N103" s="37" t="n"/>
      <c r="P103" s="41" t="n"/>
    </row>
    <row r="104" ht="23" customHeight="1">
      <c r="F104" s="41" t="n"/>
      <c r="M104" s="37" t="n"/>
      <c r="N104" s="37" t="n"/>
      <c r="P104" s="41" t="n"/>
    </row>
    <row r="105" ht="23" customHeight="1">
      <c r="F105" s="41" t="n"/>
      <c r="M105" s="37" t="n"/>
      <c r="N105" s="37" t="n"/>
      <c r="P105" s="41" t="n"/>
    </row>
    <row r="106" ht="23" customHeight="1">
      <c r="F106" s="41" t="n"/>
      <c r="M106" s="37" t="n"/>
      <c r="N106" s="37" t="n"/>
      <c r="P106" s="41" t="n"/>
    </row>
    <row r="107" ht="23" customHeight="1">
      <c r="F107" s="41" t="n"/>
      <c r="M107" s="37" t="n"/>
      <c r="N107" s="37" t="n"/>
      <c r="P107" s="41" t="n"/>
    </row>
    <row r="108" ht="23" customHeight="1">
      <c r="F108" s="41" t="n"/>
      <c r="M108" s="37" t="n"/>
      <c r="N108" s="37" t="n"/>
      <c r="P108" s="41" t="n"/>
    </row>
    <row r="109" ht="23" customHeight="1">
      <c r="F109" s="41" t="n"/>
      <c r="M109" s="37" t="n"/>
      <c r="N109" s="37" t="n"/>
      <c r="P109" s="41" t="n"/>
    </row>
    <row r="110" ht="23" customHeight="1">
      <c r="F110" s="41" t="n"/>
      <c r="M110" s="37" t="n"/>
      <c r="N110" s="37" t="n"/>
      <c r="P110" s="41" t="n"/>
    </row>
    <row r="111" ht="23" customHeight="1">
      <c r="F111" s="41" t="n"/>
      <c r="M111" s="37" t="n"/>
      <c r="N111" s="37" t="n"/>
      <c r="P111" s="41" t="n"/>
    </row>
    <row r="112" ht="23" customHeight="1">
      <c r="F112" s="41" t="n"/>
      <c r="M112" s="37" t="n"/>
      <c r="N112" s="37" t="n"/>
      <c r="P112" s="41" t="n"/>
    </row>
    <row r="113" ht="23" customHeight="1">
      <c r="F113" s="41" t="n"/>
      <c r="M113" s="37" t="n"/>
      <c r="N113" s="37" t="n"/>
      <c r="P113" s="41" t="n"/>
    </row>
    <row r="114" ht="23" customHeight="1">
      <c r="F114" s="41" t="n"/>
      <c r="M114" s="37" t="n"/>
      <c r="N114" s="37" t="n"/>
      <c r="P114" s="41" t="n"/>
    </row>
    <row r="115" ht="23" customHeight="1">
      <c r="F115" s="41" t="n"/>
      <c r="M115" s="37" t="n"/>
      <c r="N115" s="37" t="n"/>
      <c r="P115" s="41" t="n"/>
    </row>
    <row r="116" ht="23" customHeight="1">
      <c r="F116" s="41" t="n"/>
      <c r="M116" s="37" t="n"/>
      <c r="N116" s="37" t="n"/>
      <c r="P116" s="41" t="n"/>
    </row>
    <row r="117" ht="23" customHeight="1">
      <c r="F117" s="41" t="n"/>
      <c r="M117" s="37" t="n"/>
      <c r="N117" s="37" t="n"/>
      <c r="P117" s="41" t="n"/>
    </row>
    <row r="118" ht="23" customHeight="1">
      <c r="F118" s="41" t="n"/>
      <c r="M118" s="37" t="n"/>
      <c r="N118" s="37" t="n"/>
      <c r="P118" s="41" t="n"/>
    </row>
    <row r="119" ht="23" customHeight="1">
      <c r="F119" s="41" t="n"/>
      <c r="M119" s="37" t="n"/>
      <c r="N119" s="37" t="n"/>
      <c r="P119" s="41" t="n"/>
    </row>
    <row r="120" ht="23" customHeight="1">
      <c r="F120" s="41" t="n"/>
      <c r="M120" s="37" t="n"/>
      <c r="N120" s="37" t="n"/>
      <c r="P120" s="41" t="n"/>
    </row>
    <row r="121" ht="23" customHeight="1">
      <c r="F121" s="41" t="n"/>
      <c r="M121" s="37" t="n"/>
      <c r="N121" s="37" t="n"/>
      <c r="P121" s="41" t="n"/>
    </row>
    <row r="122" ht="23" customHeight="1">
      <c r="F122" s="41" t="n"/>
      <c r="M122" s="37" t="n"/>
      <c r="N122" s="37" t="n"/>
      <c r="P122" s="41" t="n"/>
    </row>
    <row r="123" ht="23" customHeight="1">
      <c r="F123" s="41" t="n"/>
      <c r="M123" s="37" t="n"/>
      <c r="N123" s="37" t="n"/>
      <c r="P123" s="41" t="n"/>
    </row>
    <row r="124" ht="23" customHeight="1">
      <c r="F124" s="41" t="n"/>
      <c r="M124" s="37" t="n"/>
      <c r="N124" s="37" t="n"/>
      <c r="P124" s="41" t="n"/>
    </row>
    <row r="125" ht="23" customHeight="1">
      <c r="F125" s="41" t="n"/>
      <c r="M125" s="37" t="n"/>
      <c r="N125" s="37" t="n"/>
      <c r="P125" s="41" t="n"/>
    </row>
    <row r="126" ht="23" customHeight="1">
      <c r="F126" s="41" t="n"/>
      <c r="M126" s="37" t="n"/>
      <c r="N126" s="37" t="n"/>
      <c r="P126" s="41" t="n"/>
    </row>
    <row r="127" ht="23" customHeight="1">
      <c r="F127" s="41" t="n"/>
      <c r="M127" s="37" t="n"/>
      <c r="N127" s="37" t="n"/>
      <c r="P127" s="41" t="n"/>
    </row>
    <row r="128" ht="23" customHeight="1">
      <c r="F128" s="41" t="n"/>
      <c r="M128" s="37" t="n"/>
      <c r="N128" s="37" t="n"/>
      <c r="P128" s="41" t="n"/>
    </row>
    <row r="129" ht="23" customHeight="1">
      <c r="F129" s="41" t="n"/>
      <c r="M129" s="37" t="n"/>
      <c r="N129" s="37" t="n"/>
      <c r="P129" s="41" t="n"/>
    </row>
    <row r="130" ht="23" customHeight="1">
      <c r="F130" s="41" t="n"/>
      <c r="M130" s="37" t="n"/>
      <c r="N130" s="37" t="n"/>
      <c r="P130" s="41" t="n"/>
    </row>
    <row r="131" ht="23" customHeight="1">
      <c r="F131" s="41" t="n"/>
      <c r="M131" s="37" t="n"/>
      <c r="N131" s="37" t="n"/>
      <c r="P131" s="41" t="n"/>
    </row>
    <row r="132" ht="23" customHeight="1">
      <c r="F132" s="41" t="n"/>
      <c r="M132" s="37" t="n"/>
      <c r="N132" s="37" t="n"/>
      <c r="P132" s="41" t="n"/>
    </row>
    <row r="133" ht="23" customHeight="1">
      <c r="F133" s="41" t="n"/>
      <c r="M133" s="37" t="n"/>
      <c r="N133" s="37" t="n"/>
      <c r="P133" s="41" t="n"/>
    </row>
    <row r="134" ht="23" customHeight="1">
      <c r="F134" s="41" t="n"/>
      <c r="M134" s="37" t="n"/>
      <c r="N134" s="37" t="n"/>
      <c r="P134" s="41" t="n"/>
    </row>
    <row r="135" ht="23" customHeight="1">
      <c r="F135" s="41" t="n"/>
      <c r="M135" s="37" t="n"/>
      <c r="N135" s="37" t="n"/>
      <c r="P135" s="41" t="n"/>
    </row>
    <row r="136" ht="23" customHeight="1">
      <c r="F136" s="41" t="n"/>
      <c r="M136" s="37" t="n"/>
      <c r="N136" s="37" t="n"/>
      <c r="P136" s="41" t="n"/>
    </row>
    <row r="137" ht="23" customHeight="1">
      <c r="F137" s="41" t="n"/>
      <c r="M137" s="37" t="n"/>
      <c r="N137" s="37" t="n"/>
      <c r="P137" s="41" t="n"/>
    </row>
    <row r="138" ht="23" customHeight="1">
      <c r="F138" s="41" t="n"/>
      <c r="M138" s="37" t="n"/>
      <c r="N138" s="37" t="n"/>
      <c r="P138" s="41" t="n"/>
    </row>
    <row r="139" ht="23" customHeight="1">
      <c r="F139" s="41" t="n"/>
      <c r="M139" s="37" t="n"/>
      <c r="N139" s="37" t="n"/>
      <c r="P139" s="41" t="n"/>
    </row>
    <row r="140" ht="23" customHeight="1">
      <c r="F140" s="41" t="n"/>
      <c r="M140" s="37" t="n"/>
      <c r="N140" s="37" t="n"/>
      <c r="P140" s="41" t="n"/>
    </row>
    <row r="141" ht="23" customHeight="1">
      <c r="F141" s="41" t="n"/>
      <c r="M141" s="37" t="n"/>
      <c r="N141" s="37" t="n"/>
      <c r="P141" s="41" t="n"/>
    </row>
    <row r="142" ht="23" customHeight="1">
      <c r="F142" s="41" t="n"/>
      <c r="M142" s="37" t="n"/>
      <c r="N142" s="37" t="n"/>
      <c r="P142" s="41" t="n"/>
    </row>
    <row r="143" ht="23" customHeight="1">
      <c r="F143" s="41" t="n"/>
      <c r="M143" s="37" t="n"/>
      <c r="N143" s="37" t="n"/>
      <c r="P143" s="41" t="n"/>
    </row>
    <row r="144" ht="23" customHeight="1">
      <c r="F144" s="41" t="n"/>
      <c r="M144" s="37" t="n"/>
      <c r="N144" s="37" t="n"/>
      <c r="P144" s="41" t="n"/>
    </row>
    <row r="145" ht="23" customHeight="1">
      <c r="F145" s="41" t="n"/>
      <c r="M145" s="37" t="n"/>
      <c r="N145" s="37" t="n"/>
      <c r="P145" s="41" t="n"/>
    </row>
    <row r="146" ht="23" customHeight="1">
      <c r="F146" s="41" t="n"/>
      <c r="M146" s="37" t="n"/>
      <c r="N146" s="37" t="n"/>
      <c r="P146" s="41" t="n"/>
    </row>
    <row r="147" ht="23" customHeight="1">
      <c r="F147" s="41" t="n"/>
      <c r="M147" s="37" t="n"/>
      <c r="N147" s="37" t="n"/>
      <c r="P147" s="41" t="n"/>
    </row>
    <row r="148" ht="23" customHeight="1">
      <c r="F148" s="41" t="n"/>
      <c r="M148" s="37" t="n"/>
      <c r="N148" s="37" t="n"/>
      <c r="P148" s="41" t="n"/>
    </row>
    <row r="149" ht="23" customHeight="1">
      <c r="F149" s="41" t="n"/>
      <c r="M149" s="37" t="n"/>
      <c r="N149" s="37" t="n"/>
      <c r="P149" s="41" t="n"/>
    </row>
    <row r="150" ht="23" customHeight="1">
      <c r="F150" s="41" t="n"/>
      <c r="M150" s="37" t="n"/>
      <c r="N150" s="37" t="n"/>
      <c r="P150" s="41" t="n"/>
    </row>
    <row r="151" ht="23" customHeight="1">
      <c r="F151" s="41" t="n"/>
      <c r="M151" s="37" t="n"/>
      <c r="N151" s="37" t="n"/>
      <c r="P151" s="41" t="n"/>
    </row>
    <row r="152" ht="23" customHeight="1">
      <c r="F152" s="41" t="n"/>
      <c r="M152" s="37" t="n"/>
      <c r="N152" s="37" t="n"/>
      <c r="P152" s="41" t="n"/>
    </row>
    <row r="153" ht="23" customHeight="1">
      <c r="F153" s="41" t="n"/>
      <c r="M153" s="37" t="n"/>
      <c r="N153" s="37" t="n"/>
      <c r="P153" s="41" t="n"/>
    </row>
    <row r="154" ht="23" customHeight="1">
      <c r="F154" s="41" t="n"/>
      <c r="M154" s="37" t="n"/>
      <c r="N154" s="37" t="n"/>
      <c r="P154" s="41" t="n"/>
    </row>
    <row r="155" ht="23" customHeight="1">
      <c r="F155" s="41" t="n"/>
      <c r="M155" s="37" t="n"/>
      <c r="N155" s="37" t="n"/>
      <c r="P155" s="41" t="n"/>
    </row>
    <row r="156" ht="23" customHeight="1">
      <c r="F156" s="41" t="n"/>
      <c r="M156" s="37" t="n"/>
      <c r="N156" s="37" t="n"/>
      <c r="P156" s="41" t="n"/>
    </row>
    <row r="157" ht="23" customHeight="1">
      <c r="F157" s="41" t="n"/>
      <c r="M157" s="37" t="n"/>
      <c r="N157" s="37" t="n"/>
      <c r="P157" s="41" t="n"/>
    </row>
    <row r="158" ht="23" customHeight="1">
      <c r="F158" s="41" t="n"/>
      <c r="M158" s="37" t="n"/>
      <c r="N158" s="37" t="n"/>
      <c r="P158" s="41" t="n"/>
    </row>
    <row r="159" ht="23" customHeight="1">
      <c r="F159" s="41" t="n"/>
      <c r="M159" s="37" t="n"/>
      <c r="N159" s="37" t="n"/>
      <c r="P159" s="41" t="n"/>
    </row>
    <row r="160" ht="23" customHeight="1">
      <c r="F160" s="41" t="n"/>
      <c r="M160" s="37" t="n"/>
      <c r="N160" s="37" t="n"/>
      <c r="P160" s="41" t="n"/>
    </row>
    <row r="161" ht="23" customHeight="1">
      <c r="F161" s="41" t="n"/>
      <c r="M161" s="37" t="n"/>
      <c r="N161" s="37" t="n"/>
      <c r="P161" s="41" t="n"/>
    </row>
    <row r="162" ht="23" customHeight="1">
      <c r="F162" s="41" t="n"/>
      <c r="M162" s="37" t="n"/>
      <c r="N162" s="37" t="n"/>
      <c r="P162" s="41" t="n"/>
    </row>
    <row r="163" ht="23" customHeight="1">
      <c r="F163" s="41" t="n"/>
      <c r="M163" s="37" t="n"/>
      <c r="N163" s="37" t="n"/>
      <c r="P163" s="41" t="n"/>
    </row>
    <row r="164" ht="23" customHeight="1">
      <c r="F164" s="41" t="n"/>
      <c r="M164" s="37" t="n"/>
      <c r="N164" s="37" t="n"/>
      <c r="P164" s="41" t="n"/>
    </row>
    <row r="165" ht="23" customHeight="1">
      <c r="F165" s="41" t="n"/>
      <c r="M165" s="37" t="n"/>
      <c r="N165" s="37" t="n"/>
      <c r="P165" s="41" t="n"/>
    </row>
    <row r="166" ht="23" customHeight="1">
      <c r="F166" s="41" t="n"/>
      <c r="M166" s="37" t="n"/>
      <c r="N166" s="37" t="n"/>
      <c r="P166" s="41" t="n"/>
    </row>
    <row r="167" ht="23" customHeight="1">
      <c r="F167" s="41" t="n"/>
      <c r="M167" s="37" t="n"/>
      <c r="N167" s="37" t="n"/>
      <c r="P167" s="41" t="n"/>
    </row>
    <row r="168" ht="23" customHeight="1">
      <c r="F168" s="41" t="n"/>
      <c r="M168" s="37" t="n"/>
      <c r="N168" s="37" t="n"/>
      <c r="P168" s="41" t="n"/>
    </row>
    <row r="169" ht="23" customHeight="1">
      <c r="F169" s="41" t="n"/>
      <c r="M169" s="37" t="n"/>
      <c r="N169" s="37" t="n"/>
      <c r="P169" s="41" t="n"/>
    </row>
    <row r="170" ht="23" customHeight="1">
      <c r="F170" s="41" t="n"/>
      <c r="M170" s="37" t="n"/>
      <c r="N170" s="37" t="n"/>
      <c r="P170" s="41" t="n"/>
    </row>
    <row r="171" ht="23" customHeight="1">
      <c r="F171" s="41" t="n"/>
      <c r="M171" s="37" t="n"/>
      <c r="N171" s="37" t="n"/>
      <c r="P171" s="41" t="n"/>
    </row>
    <row r="172" ht="23" customHeight="1">
      <c r="F172" s="41" t="n"/>
      <c r="M172" s="37" t="n"/>
      <c r="N172" s="37" t="n"/>
      <c r="P172" s="41" t="n"/>
    </row>
    <row r="173" ht="23" customHeight="1">
      <c r="F173" s="41" t="n"/>
      <c r="M173" s="37" t="n"/>
      <c r="N173" s="37" t="n"/>
      <c r="P173" s="41" t="n"/>
    </row>
    <row r="174" ht="23" customHeight="1">
      <c r="F174" s="41" t="n"/>
      <c r="M174" s="37" t="n"/>
      <c r="N174" s="37" t="n"/>
      <c r="P174" s="41" t="n"/>
    </row>
    <row r="175" ht="23" customHeight="1">
      <c r="F175" s="41" t="n"/>
      <c r="M175" s="37" t="n"/>
      <c r="N175" s="37" t="n"/>
      <c r="P175" s="41" t="n"/>
    </row>
    <row r="176" ht="23" customHeight="1">
      <c r="F176" s="41" t="n"/>
      <c r="M176" s="37" t="n"/>
      <c r="N176" s="37" t="n"/>
      <c r="P176" s="41" t="n"/>
    </row>
    <row r="177" ht="23" customHeight="1">
      <c r="F177" s="41" t="n"/>
      <c r="M177" s="37" t="n"/>
      <c r="N177" s="37" t="n"/>
      <c r="P177" s="41" t="n"/>
    </row>
    <row r="178" ht="23" customHeight="1">
      <c r="F178" s="41" t="n"/>
      <c r="M178" s="37" t="n"/>
      <c r="N178" s="37" t="n"/>
      <c r="P178" s="41" t="n"/>
    </row>
    <row r="179" ht="23" customHeight="1">
      <c r="F179" s="41" t="n"/>
      <c r="M179" s="37" t="n"/>
      <c r="N179" s="37" t="n"/>
      <c r="P179" s="41" t="n"/>
    </row>
    <row r="180" ht="23" customHeight="1">
      <c r="F180" s="41" t="n"/>
      <c r="M180" s="37" t="n"/>
      <c r="N180" s="37" t="n"/>
      <c r="P180" s="41" t="n"/>
    </row>
    <row r="181" ht="23" customHeight="1">
      <c r="F181" s="41" t="n"/>
      <c r="M181" s="37" t="n"/>
      <c r="N181" s="37" t="n"/>
      <c r="P181" s="41" t="n"/>
    </row>
    <row r="182" ht="23" customHeight="1">
      <c r="F182" s="41" t="n"/>
      <c r="M182" s="37" t="n"/>
      <c r="N182" s="37" t="n"/>
      <c r="P182" s="41" t="n"/>
    </row>
    <row r="183" ht="23" customHeight="1">
      <c r="F183" s="41" t="n"/>
      <c r="M183" s="37" t="n"/>
      <c r="N183" s="37" t="n"/>
      <c r="P183" s="41" t="n"/>
    </row>
    <row r="184" ht="23" customHeight="1">
      <c r="F184" s="41" t="n"/>
      <c r="M184" s="37" t="n"/>
      <c r="N184" s="37" t="n"/>
      <c r="P184" s="41" t="n"/>
    </row>
    <row r="185" ht="23" customHeight="1">
      <c r="F185" s="41" t="n"/>
      <c r="M185" s="37" t="n"/>
      <c r="N185" s="37" t="n"/>
      <c r="P185" s="41" t="n"/>
    </row>
    <row r="186" ht="23" customHeight="1">
      <c r="F186" s="41" t="n"/>
      <c r="M186" s="37" t="n"/>
      <c r="N186" s="37" t="n"/>
      <c r="P186" s="41" t="n"/>
    </row>
    <row r="187" ht="23" customHeight="1">
      <c r="F187" s="41" t="n"/>
      <c r="M187" s="37" t="n"/>
      <c r="N187" s="37" t="n"/>
      <c r="P187" s="41" t="n"/>
    </row>
    <row r="188" ht="23" customHeight="1">
      <c r="F188" s="41" t="n"/>
      <c r="M188" s="37" t="n"/>
      <c r="N188" s="37" t="n"/>
      <c r="P188" s="41" t="n"/>
    </row>
    <row r="189" ht="23" customHeight="1">
      <c r="F189" s="41" t="n"/>
      <c r="M189" s="37" t="n"/>
      <c r="N189" s="37" t="n"/>
      <c r="P189" s="41" t="n"/>
    </row>
    <row r="190" ht="23" customHeight="1">
      <c r="F190" s="41" t="n"/>
      <c r="M190" s="37" t="n"/>
      <c r="N190" s="37" t="n"/>
      <c r="P190" s="41" t="n"/>
    </row>
    <row r="191" ht="23" customHeight="1">
      <c r="F191" s="41" t="n"/>
      <c r="M191" s="37" t="n"/>
      <c r="N191" s="37" t="n"/>
      <c r="P191" s="41" t="n"/>
    </row>
    <row r="192" ht="23" customHeight="1">
      <c r="F192" s="41" t="n"/>
      <c r="M192" s="37" t="n"/>
      <c r="N192" s="37" t="n"/>
      <c r="P192" s="41" t="n"/>
    </row>
    <row r="193" ht="23" customHeight="1">
      <c r="F193" s="41" t="n"/>
      <c r="M193" s="37" t="n"/>
      <c r="N193" s="37" t="n"/>
      <c r="P193" s="41" t="n"/>
    </row>
    <row r="194" ht="23" customHeight="1">
      <c r="F194" s="41" t="n"/>
      <c r="M194" s="37" t="n"/>
      <c r="N194" s="37" t="n"/>
      <c r="P194" s="41" t="n"/>
    </row>
    <row r="195" ht="23" customHeight="1">
      <c r="F195" s="41" t="n"/>
      <c r="M195" s="37" t="n"/>
      <c r="N195" s="37" t="n"/>
      <c r="P195" s="41" t="n"/>
    </row>
    <row r="196" ht="23" customHeight="1">
      <c r="F196" s="41" t="n"/>
      <c r="M196" s="37" t="n"/>
      <c r="N196" s="37" t="n"/>
      <c r="P196" s="41" t="n"/>
    </row>
    <row r="197" ht="23" customHeight="1">
      <c r="F197" s="41" t="n"/>
      <c r="M197" s="37" t="n"/>
      <c r="N197" s="37" t="n"/>
      <c r="P197" s="41" t="n"/>
    </row>
    <row r="198" ht="23" customHeight="1">
      <c r="F198" s="41" t="n"/>
      <c r="M198" s="37" t="n"/>
      <c r="N198" s="37" t="n"/>
      <c r="P198" s="41" t="n"/>
    </row>
    <row r="199" ht="23" customHeight="1">
      <c r="F199" s="41" t="n"/>
      <c r="M199" s="37" t="n"/>
      <c r="N199" s="37" t="n"/>
      <c r="P199" s="41" t="n"/>
    </row>
    <row r="200" ht="23" customHeight="1">
      <c r="F200" s="41" t="n"/>
      <c r="M200" s="37" t="n"/>
      <c r="N200" s="37" t="n"/>
      <c r="P200" s="41" t="n"/>
    </row>
    <row r="201" ht="23" customHeight="1">
      <c r="F201" s="41" t="n"/>
      <c r="M201" s="37" t="n"/>
      <c r="N201" s="37" t="n"/>
      <c r="P201" s="41" t="n"/>
    </row>
    <row r="202" ht="23" customHeight="1">
      <c r="F202" s="41" t="n"/>
      <c r="M202" s="37" t="n"/>
      <c r="N202" s="37" t="n"/>
      <c r="P202" s="41" t="n"/>
    </row>
    <row r="203" ht="23" customHeight="1">
      <c r="F203" s="41" t="n"/>
      <c r="M203" s="37" t="n"/>
      <c r="N203" s="37" t="n"/>
      <c r="P203" s="41" t="n"/>
    </row>
    <row r="204" ht="23" customHeight="1">
      <c r="F204" s="41" t="n"/>
      <c r="M204" s="37" t="n"/>
      <c r="N204" s="37" t="n"/>
      <c r="P204" s="41" t="n"/>
    </row>
    <row r="205" ht="23" customHeight="1">
      <c r="F205" s="41" t="n"/>
      <c r="M205" s="37" t="n"/>
      <c r="N205" s="37" t="n"/>
      <c r="P205" s="41" t="n"/>
    </row>
    <row r="206" ht="23" customHeight="1">
      <c r="F206" s="41" t="n"/>
      <c r="M206" s="37" t="n"/>
      <c r="N206" s="37" t="n"/>
      <c r="P206" s="41" t="n"/>
    </row>
    <row r="207" ht="23" customHeight="1">
      <c r="F207" s="41" t="n"/>
      <c r="M207" s="37" t="n"/>
      <c r="N207" s="37" t="n"/>
      <c r="P207" s="41" t="n"/>
    </row>
    <row r="208" ht="23" customHeight="1">
      <c r="F208" s="41" t="n"/>
      <c r="M208" s="37" t="n"/>
      <c r="N208" s="37" t="n"/>
      <c r="P208" s="41" t="n"/>
    </row>
    <row r="209" ht="23" customHeight="1">
      <c r="F209" s="41" t="n"/>
      <c r="M209" s="37" t="n"/>
      <c r="N209" s="37" t="n"/>
      <c r="P209" s="41" t="n"/>
    </row>
    <row r="210" ht="23" customHeight="1">
      <c r="F210" s="41" t="n"/>
      <c r="M210" s="37" t="n"/>
      <c r="N210" s="37" t="n"/>
      <c r="P210" s="41" t="n"/>
    </row>
    <row r="211" ht="23" customHeight="1">
      <c r="F211" s="41" t="n"/>
      <c r="M211" s="37" t="n"/>
      <c r="N211" s="37" t="n"/>
      <c r="P211" s="41" t="n"/>
    </row>
    <row r="212" ht="23" customHeight="1">
      <c r="F212" s="41" t="n"/>
      <c r="M212" s="37" t="n"/>
      <c r="N212" s="37" t="n"/>
      <c r="P212" s="41" t="n"/>
    </row>
    <row r="213" ht="23" customHeight="1">
      <c r="F213" s="41" t="n"/>
      <c r="M213" s="37" t="n"/>
      <c r="N213" s="37" t="n"/>
      <c r="P213" s="41" t="n"/>
    </row>
    <row r="214" ht="23" customHeight="1">
      <c r="F214" s="41" t="n"/>
      <c r="M214" s="37" t="n"/>
      <c r="N214" s="37" t="n"/>
      <c r="P214" s="41" t="n"/>
    </row>
    <row r="215" ht="23" customHeight="1">
      <c r="F215" s="41" t="n"/>
      <c r="M215" s="37" t="n"/>
      <c r="N215" s="37" t="n"/>
      <c r="P215" s="41" t="n"/>
    </row>
    <row r="216" ht="23" customHeight="1">
      <c r="F216" s="41" t="n"/>
      <c r="M216" s="37" t="n"/>
      <c r="N216" s="37" t="n"/>
      <c r="P216" s="41" t="n"/>
    </row>
    <row r="217" ht="23" customHeight="1">
      <c r="F217" s="41" t="n"/>
      <c r="M217" s="37" t="n"/>
      <c r="N217" s="37" t="n"/>
      <c r="P217" s="41" t="n"/>
    </row>
    <row r="218" ht="23" customHeight="1">
      <c r="F218" s="41" t="n"/>
      <c r="M218" s="37" t="n"/>
      <c r="N218" s="37" t="n"/>
      <c r="P218" s="41" t="n"/>
    </row>
    <row r="219" ht="23" customHeight="1">
      <c r="F219" s="41" t="n"/>
      <c r="M219" s="37" t="n"/>
      <c r="N219" s="37" t="n"/>
      <c r="P219" s="41" t="n"/>
    </row>
    <row r="220" ht="23" customHeight="1">
      <c r="F220" s="41" t="n"/>
      <c r="M220" s="37" t="n"/>
      <c r="N220" s="37" t="n"/>
      <c r="P220" s="41" t="n"/>
    </row>
    <row r="221" ht="23" customHeight="1">
      <c r="F221" s="41" t="n"/>
      <c r="M221" s="37" t="n"/>
      <c r="N221" s="37" t="n"/>
      <c r="P221" s="41" t="n"/>
    </row>
    <row r="222" ht="23" customHeight="1">
      <c r="F222" s="41" t="n"/>
      <c r="M222" s="37" t="n"/>
      <c r="N222" s="37" t="n"/>
      <c r="P222" s="41" t="n"/>
    </row>
    <row r="223" ht="23" customHeight="1">
      <c r="F223" s="41" t="n"/>
      <c r="M223" s="37" t="n"/>
      <c r="N223" s="37" t="n"/>
      <c r="P223" s="41" t="n"/>
    </row>
    <row r="224" ht="23" customHeight="1">
      <c r="F224" s="41" t="n"/>
      <c r="M224" s="37" t="n"/>
      <c r="N224" s="37" t="n"/>
      <c r="P224" s="41" t="n"/>
    </row>
    <row r="225" ht="23" customHeight="1">
      <c r="F225" s="41" t="n"/>
      <c r="M225" s="37" t="n"/>
      <c r="N225" s="37" t="n"/>
      <c r="P225" s="41" t="n"/>
    </row>
    <row r="226" ht="23" customHeight="1">
      <c r="F226" s="41" t="n"/>
      <c r="M226" s="37" t="n"/>
      <c r="N226" s="37" t="n"/>
      <c r="P226" s="41" t="n"/>
    </row>
    <row r="227" ht="23" customHeight="1">
      <c r="F227" s="41" t="n"/>
      <c r="M227" s="37" t="n"/>
      <c r="N227" s="37" t="n"/>
      <c r="P227" s="41" t="n"/>
    </row>
    <row r="228" ht="23" customHeight="1">
      <c r="F228" s="41" t="n"/>
      <c r="M228" s="37" t="n"/>
      <c r="N228" s="37" t="n"/>
      <c r="P228" s="41" t="n"/>
    </row>
    <row r="229" ht="23" customHeight="1">
      <c r="F229" s="41" t="n"/>
      <c r="M229" s="37" t="n"/>
      <c r="N229" s="37" t="n"/>
      <c r="P229" s="41" t="n"/>
    </row>
    <row r="230" ht="23" customHeight="1">
      <c r="F230" s="41" t="n"/>
      <c r="M230" s="37" t="n"/>
      <c r="N230" s="37" t="n"/>
      <c r="P230" s="41" t="n"/>
    </row>
    <row r="231" ht="23" customHeight="1">
      <c r="F231" s="41" t="n"/>
      <c r="M231" s="37" t="n"/>
      <c r="N231" s="37" t="n"/>
      <c r="P231" s="41" t="n"/>
    </row>
    <row r="232" ht="23" customHeight="1">
      <c r="F232" s="41" t="n"/>
      <c r="M232" s="37" t="n"/>
      <c r="N232" s="37" t="n"/>
      <c r="P232" s="41" t="n"/>
    </row>
    <row r="233" ht="23" customHeight="1">
      <c r="F233" s="41" t="n"/>
      <c r="M233" s="37" t="n"/>
      <c r="N233" s="37" t="n"/>
      <c r="P233" s="41" t="n"/>
    </row>
    <row r="234" ht="23" customHeight="1">
      <c r="F234" s="41" t="n"/>
      <c r="M234" s="37" t="n"/>
      <c r="N234" s="37" t="n"/>
      <c r="P234" s="41" t="n"/>
    </row>
    <row r="235" ht="23" customHeight="1">
      <c r="F235" s="41" t="n"/>
      <c r="M235" s="37" t="n"/>
      <c r="N235" s="37" t="n"/>
      <c r="P235" s="41" t="n"/>
    </row>
    <row r="236" ht="23" customHeight="1">
      <c r="F236" s="41" t="n"/>
      <c r="M236" s="37" t="n"/>
      <c r="N236" s="37" t="n"/>
      <c r="P236" s="41" t="n"/>
    </row>
    <row r="237" ht="23" customHeight="1">
      <c r="F237" s="41" t="n"/>
      <c r="M237" s="37" t="n"/>
      <c r="N237" s="37" t="n"/>
      <c r="P237" s="41" t="n"/>
    </row>
    <row r="238" ht="23" customHeight="1">
      <c r="F238" s="41" t="n"/>
      <c r="M238" s="37" t="n"/>
      <c r="N238" s="37" t="n"/>
      <c r="P238" s="41" t="n"/>
    </row>
    <row r="239" ht="23" customHeight="1">
      <c r="F239" s="41" t="n"/>
      <c r="M239" s="37" t="n"/>
      <c r="N239" s="37" t="n"/>
      <c r="P239" s="41" t="n"/>
    </row>
    <row r="240" ht="23" customHeight="1">
      <c r="F240" s="41" t="n"/>
      <c r="M240" s="37" t="n"/>
      <c r="N240" s="37" t="n"/>
      <c r="P240" s="41" t="n"/>
    </row>
    <row r="241" ht="23" customHeight="1">
      <c r="F241" s="41" t="n"/>
      <c r="M241" s="37" t="n"/>
      <c r="N241" s="37" t="n"/>
      <c r="P241" s="41" t="n"/>
    </row>
    <row r="242" ht="23" customHeight="1">
      <c r="F242" s="41" t="n"/>
      <c r="M242" s="37" t="n"/>
      <c r="N242" s="37" t="n"/>
      <c r="P242" s="41" t="n"/>
    </row>
    <row r="243" ht="23" customHeight="1">
      <c r="F243" s="41" t="n"/>
      <c r="M243" s="37" t="n"/>
      <c r="N243" s="37" t="n"/>
      <c r="P243" s="41" t="n"/>
    </row>
    <row r="244" ht="23" customHeight="1">
      <c r="F244" s="41" t="n"/>
      <c r="M244" s="37" t="n"/>
      <c r="N244" s="37" t="n"/>
      <c r="P244" s="41" t="n"/>
    </row>
    <row r="245" ht="23" customHeight="1">
      <c r="F245" s="41" t="n"/>
      <c r="M245" s="37" t="n"/>
      <c r="N245" s="37" t="n"/>
      <c r="P245" s="41" t="n"/>
    </row>
    <row r="246" ht="23" customHeight="1">
      <c r="F246" s="41" t="n"/>
      <c r="M246" s="37" t="n"/>
      <c r="N246" s="37" t="n"/>
      <c r="P246" s="41" t="n"/>
    </row>
    <row r="247" ht="23" customHeight="1">
      <c r="F247" s="41" t="n"/>
      <c r="M247" s="37" t="n"/>
      <c r="N247" s="37" t="n"/>
      <c r="P247" s="41" t="n"/>
    </row>
    <row r="248" ht="23" customHeight="1">
      <c r="F248" s="41" t="n"/>
      <c r="M248" s="37" t="n"/>
      <c r="N248" s="37" t="n"/>
      <c r="P248" s="41" t="n"/>
    </row>
    <row r="249" ht="23" customHeight="1">
      <c r="F249" s="41" t="n"/>
      <c r="M249" s="37" t="n"/>
      <c r="N249" s="37" t="n"/>
      <c r="P249" s="41" t="n"/>
    </row>
    <row r="250" ht="23" customHeight="1">
      <c r="F250" s="41" t="n"/>
      <c r="M250" s="37" t="n"/>
      <c r="N250" s="37" t="n"/>
      <c r="P250" s="41" t="n"/>
    </row>
    <row r="251" ht="23" customHeight="1">
      <c r="F251" s="41" t="n"/>
      <c r="M251" s="37" t="n"/>
      <c r="N251" s="37" t="n"/>
      <c r="P251" s="41" t="n"/>
    </row>
    <row r="252" ht="23" customHeight="1">
      <c r="F252" s="41" t="n"/>
      <c r="M252" s="37" t="n"/>
      <c r="N252" s="37" t="n"/>
      <c r="P252" s="41" t="n"/>
    </row>
    <row r="253" ht="23" customHeight="1">
      <c r="F253" s="41" t="n"/>
      <c r="M253" s="37" t="n"/>
      <c r="N253" s="37" t="n"/>
      <c r="P253" s="41" t="n"/>
    </row>
    <row r="254" ht="23" customHeight="1">
      <c r="F254" s="41" t="n"/>
      <c r="M254" s="37" t="n"/>
      <c r="N254" s="37" t="n"/>
      <c r="P254" s="41" t="n"/>
    </row>
    <row r="255" ht="23" customHeight="1">
      <c r="F255" s="41" t="n"/>
      <c r="M255" s="37" t="n"/>
      <c r="N255" s="37" t="n"/>
      <c r="P255" s="41" t="n"/>
    </row>
    <row r="256" ht="23" customHeight="1">
      <c r="F256" s="41" t="n"/>
      <c r="M256" s="37" t="n"/>
      <c r="N256" s="37" t="n"/>
      <c r="P256" s="41" t="n"/>
    </row>
    <row r="257" ht="23" customHeight="1">
      <c r="F257" s="41" t="n"/>
      <c r="M257" s="37" t="n"/>
      <c r="N257" s="37" t="n"/>
      <c r="P257" s="41" t="n"/>
    </row>
    <row r="258" ht="23" customHeight="1">
      <c r="F258" s="41" t="n"/>
      <c r="M258" s="37" t="n"/>
      <c r="N258" s="37" t="n"/>
      <c r="P258" s="41" t="n"/>
    </row>
    <row r="259" ht="23" customHeight="1">
      <c r="F259" s="41" t="n"/>
      <c r="M259" s="37" t="n"/>
      <c r="N259" s="37" t="n"/>
      <c r="P259" s="41" t="n"/>
    </row>
    <row r="260" ht="23" customHeight="1">
      <c r="F260" s="41" t="n"/>
      <c r="M260" s="37" t="n"/>
      <c r="N260" s="37" t="n"/>
      <c r="P260" s="41" t="n"/>
    </row>
    <row r="261" ht="23" customHeight="1">
      <c r="F261" s="41" t="n"/>
      <c r="M261" s="37" t="n"/>
      <c r="N261" s="37" t="n"/>
      <c r="P261" s="41" t="n"/>
    </row>
    <row r="262" ht="23" customHeight="1">
      <c r="F262" s="41" t="n"/>
      <c r="M262" s="37" t="n"/>
      <c r="N262" s="37" t="n"/>
      <c r="P262" s="41" t="n"/>
    </row>
    <row r="263" ht="23" customHeight="1">
      <c r="F263" s="41" t="n"/>
      <c r="M263" s="37" t="n"/>
      <c r="N263" s="37" t="n"/>
      <c r="P263" s="41" t="n"/>
    </row>
    <row r="264" ht="23" customHeight="1">
      <c r="F264" s="41" t="n"/>
      <c r="M264" s="37" t="n"/>
      <c r="N264" s="37" t="n"/>
      <c r="P264" s="41" t="n"/>
    </row>
    <row r="265" ht="23" customHeight="1">
      <c r="F265" s="41" t="n"/>
      <c r="M265" s="37" t="n"/>
      <c r="N265" s="37" t="n"/>
      <c r="P265" s="41" t="n"/>
    </row>
    <row r="266" ht="23" customHeight="1">
      <c r="F266" s="41" t="n"/>
      <c r="M266" s="37" t="n"/>
      <c r="N266" s="37" t="n"/>
      <c r="P266" s="41" t="n"/>
    </row>
    <row r="267" ht="23" customHeight="1">
      <c r="F267" s="41" t="n"/>
      <c r="M267" s="37" t="n"/>
      <c r="N267" s="37" t="n"/>
      <c r="P267" s="41" t="n"/>
    </row>
    <row r="268" ht="23" customHeight="1">
      <c r="F268" s="41" t="n"/>
      <c r="M268" s="37" t="n"/>
      <c r="N268" s="37" t="n"/>
      <c r="P268" s="41" t="n"/>
    </row>
    <row r="269" ht="23" customHeight="1">
      <c r="F269" s="41" t="n"/>
      <c r="M269" s="37" t="n"/>
      <c r="N269" s="37" t="n"/>
      <c r="P269" s="41" t="n"/>
    </row>
    <row r="270" ht="23" customHeight="1">
      <c r="F270" s="41" t="n"/>
      <c r="M270" s="37" t="n"/>
      <c r="N270" s="37" t="n"/>
      <c r="P270" s="41" t="n"/>
    </row>
    <row r="271" ht="23" customHeight="1">
      <c r="F271" s="41" t="n"/>
      <c r="M271" s="37" t="n"/>
      <c r="N271" s="37" t="n"/>
      <c r="P271" s="41" t="n"/>
    </row>
    <row r="272" ht="23" customHeight="1">
      <c r="F272" s="41" t="n"/>
      <c r="M272" s="37" t="n"/>
      <c r="N272" s="37" t="n"/>
      <c r="P272" s="41" t="n"/>
    </row>
    <row r="273" ht="23" customHeight="1">
      <c r="F273" s="41" t="n"/>
      <c r="M273" s="37" t="n"/>
      <c r="N273" s="37" t="n"/>
      <c r="P273" s="41" t="n"/>
    </row>
    <row r="274" ht="23" customHeight="1">
      <c r="F274" s="41" t="n"/>
      <c r="M274" s="37" t="n"/>
      <c r="N274" s="37" t="n"/>
      <c r="P274" s="41" t="n"/>
    </row>
    <row r="275" ht="23" customHeight="1">
      <c r="F275" s="41" t="n"/>
      <c r="M275" s="37" t="n"/>
      <c r="N275" s="37" t="n"/>
      <c r="P275" s="41" t="n"/>
    </row>
    <row r="276" ht="23" customHeight="1">
      <c r="F276" s="41" t="n"/>
      <c r="M276" s="37" t="n"/>
      <c r="N276" s="37" t="n"/>
      <c r="P276" s="41" t="n"/>
    </row>
    <row r="277" ht="23" customHeight="1">
      <c r="F277" s="41" t="n"/>
      <c r="M277" s="37" t="n"/>
      <c r="N277" s="37" t="n"/>
      <c r="P277" s="41" t="n"/>
    </row>
    <row r="278" ht="23" customHeight="1">
      <c r="F278" s="41" t="n"/>
      <c r="M278" s="37" t="n"/>
      <c r="N278" s="37" t="n"/>
      <c r="P278" s="41" t="n"/>
    </row>
    <row r="279" ht="23" customHeight="1">
      <c r="F279" s="41" t="n"/>
      <c r="M279" s="37" t="n"/>
      <c r="N279" s="37" t="n"/>
      <c r="P279" s="41" t="n"/>
    </row>
    <row r="280" ht="23" customHeight="1">
      <c r="F280" s="41" t="n"/>
      <c r="M280" s="37" t="n"/>
      <c r="N280" s="37" t="n"/>
      <c r="P280" s="41" t="n"/>
    </row>
    <row r="281" ht="23" customHeight="1">
      <c r="F281" s="41" t="n"/>
      <c r="M281" s="37" t="n"/>
      <c r="N281" s="37" t="n"/>
      <c r="P281" s="41" t="n"/>
    </row>
    <row r="282" ht="23" customHeight="1">
      <c r="F282" s="41" t="n"/>
      <c r="M282" s="37" t="n"/>
      <c r="N282" s="37" t="n"/>
      <c r="P282" s="41" t="n"/>
    </row>
    <row r="283" ht="23" customHeight="1">
      <c r="F283" s="41" t="n"/>
      <c r="M283" s="37" t="n"/>
      <c r="N283" s="37" t="n"/>
      <c r="P283" s="41" t="n"/>
    </row>
    <row r="284" ht="23" customHeight="1">
      <c r="F284" s="41" t="n"/>
      <c r="M284" s="37" t="n"/>
      <c r="N284" s="37" t="n"/>
      <c r="P284" s="41" t="n"/>
    </row>
    <row r="285" ht="23" customHeight="1">
      <c r="F285" s="41" t="n"/>
      <c r="M285" s="37" t="n"/>
      <c r="N285" s="37" t="n"/>
      <c r="P285" s="41" t="n"/>
    </row>
    <row r="286" ht="23" customHeight="1">
      <c r="F286" s="41" t="n"/>
      <c r="M286" s="37" t="n"/>
      <c r="N286" s="37" t="n"/>
      <c r="P286" s="41" t="n"/>
    </row>
    <row r="287" ht="23" customHeight="1">
      <c r="F287" s="41" t="n"/>
      <c r="M287" s="37" t="n"/>
      <c r="N287" s="37" t="n"/>
      <c r="P287" s="41" t="n"/>
    </row>
    <row r="288" ht="23" customHeight="1">
      <c r="F288" s="41" t="n"/>
      <c r="M288" s="37" t="n"/>
      <c r="N288" s="37" t="n"/>
      <c r="P288" s="41" t="n"/>
    </row>
    <row r="289" ht="23" customHeight="1">
      <c r="F289" s="41" t="n"/>
      <c r="M289" s="37" t="n"/>
      <c r="N289" s="37" t="n"/>
      <c r="P289" s="41" t="n"/>
    </row>
    <row r="290" ht="23" customHeight="1">
      <c r="F290" s="41" t="n"/>
      <c r="M290" s="37" t="n"/>
      <c r="N290" s="37" t="n"/>
      <c r="P290" s="41" t="n"/>
    </row>
    <row r="291" ht="23" customHeight="1">
      <c r="F291" s="41" t="n"/>
      <c r="M291" s="37" t="n"/>
      <c r="N291" s="37" t="n"/>
      <c r="P291" s="41" t="n"/>
    </row>
    <row r="292" ht="23" customHeight="1">
      <c r="F292" s="41" t="n"/>
      <c r="M292" s="37" t="n"/>
      <c r="N292" s="37" t="n"/>
      <c r="P292" s="41" t="n"/>
    </row>
    <row r="293" ht="23" customHeight="1">
      <c r="F293" s="41" t="n"/>
      <c r="M293" s="37" t="n"/>
      <c r="N293" s="37" t="n"/>
      <c r="P293" s="41" t="n"/>
    </row>
    <row r="294" ht="23" customHeight="1">
      <c r="F294" s="41" t="n"/>
      <c r="M294" s="37" t="n"/>
      <c r="N294" s="37" t="n"/>
      <c r="P294" s="41" t="n"/>
    </row>
    <row r="295" ht="23" customHeight="1">
      <c r="F295" s="41" t="n"/>
      <c r="M295" s="37" t="n"/>
      <c r="N295" s="37" t="n"/>
      <c r="P295" s="41" t="n"/>
    </row>
    <row r="296" ht="23" customHeight="1">
      <c r="F296" s="41" t="n"/>
      <c r="M296" s="37" t="n"/>
      <c r="N296" s="37" t="n"/>
      <c r="P296" s="41" t="n"/>
    </row>
    <row r="297" ht="23" customHeight="1">
      <c r="F297" s="41" t="n"/>
      <c r="M297" s="37" t="n"/>
      <c r="N297" s="37" t="n"/>
      <c r="P297" s="41" t="n"/>
    </row>
    <row r="298" ht="23" customHeight="1">
      <c r="F298" s="41" t="n"/>
      <c r="M298" s="37" t="n"/>
      <c r="N298" s="37" t="n"/>
      <c r="P298" s="41" t="n"/>
    </row>
    <row r="299" ht="23" customHeight="1">
      <c r="F299" s="41" t="n"/>
      <c r="M299" s="37" t="n"/>
      <c r="N299" s="37" t="n"/>
      <c r="P299" s="41" t="n"/>
    </row>
    <row r="300" ht="23" customHeight="1">
      <c r="F300" s="41" t="n"/>
      <c r="M300" s="37" t="n"/>
      <c r="N300" s="37" t="n"/>
      <c r="P300" s="41" t="n"/>
    </row>
  </sheetData>
  <mergeCells count="2">
    <mergeCell ref="A3:Q3"/>
    <mergeCell ref="A1:Q2"/>
  </mergeCells>
  <dataValidations count="4">
    <dataValidation sqref="B5:B300" showDropDown="0" showInputMessage="0" showErrorMessage="0" allowBlank="0" type="list">
      <formula1>"Federal,Estadual - PR,Municipal,Internacional,Outra"</formula1>
    </dataValidation>
    <dataValidation sqref="C5:C300" showDropDown="0" showInputMessage="0" showErrorMessage="0" allowBlank="0" type="list">
      <formula1>"Constituição,Lei complementar,Lei,Decreto,Resolução,Portaria,Instrução normativa,Deliberação,Norma técnica,Política / diretriz,Outro"</formula1>
    </dataValidation>
    <dataValidation sqref="K5:K300" showDropDown="0" showInputMessage="0" showErrorMessage="0" allowBlank="0" type="list">
      <formula1>"Vigente,Revogada,Alterada / consolidada,Suspensa,A verificar,Não aplicável"</formula1>
    </dataValidation>
    <dataValidation sqref="L5:L300" showDropDown="0" showInputMessage="0" showErrorMessage="0" allowBlank="0" type="list">
      <formula1>"Não conferido,Conferido em fonte oficial,Pendente de confirmação,Rever"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00"/>
  <sheetViews>
    <sheetView workbookViewId="0">
      <pane ySplit="4" topLeftCell="A5" activePane="bottomLeft" state="frozen"/>
      <selection activeCell="A1" sqref="A1"/>
    </sheetView>
  </sheetViews>
  <sheetFormatPr baseColWidth="8" defaultRowHeight="15"/>
  <cols>
    <col width="17" customWidth="1" min="1" max="1"/>
    <col width="21" customWidth="1" min="2" max="2"/>
    <col width="26" customWidth="1" min="3" max="3"/>
    <col width="24" customWidth="1" min="4" max="4"/>
    <col width="22" customWidth="1" min="5" max="5"/>
    <col width="47" customWidth="1" min="6" max="6"/>
    <col width="35" customWidth="1" min="7" max="7"/>
    <col width="30" customWidth="1" min="8" max="8"/>
    <col width="28" customWidth="1" min="9" max="9"/>
    <col width="25" customWidth="1" min="10" max="10"/>
    <col width="25" customWidth="1" min="11" max="11"/>
    <col width="19" customWidth="1" min="12" max="12"/>
    <col width="45" customWidth="1" min="13" max="13"/>
  </cols>
  <sheetData>
    <row r="1" ht="27" customHeight="1">
      <c r="A1" s="9" t="inlineStr">
        <is>
          <t>PSH | Rastreabilidade das citações no MOP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7" customHeight="1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</row>
    <row r="3" ht="30" customHeight="1">
      <c r="A3" s="15" t="inlineStr">
        <is>
          <t>Uma linha por ocorrência: a mesma norma pode aparecer em vários cadernos e itens. Relacionar pelo ID da aba Cadastro normativo.</t>
        </is>
      </c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</row>
    <row r="4" ht="40" customHeight="1">
      <c r="A4" s="19" t="inlineStr">
        <is>
          <t>ID ocorrência</t>
        </is>
      </c>
      <c r="B4" s="19" t="inlineStr">
        <is>
          <t>ID norma (cadastro)</t>
        </is>
      </c>
      <c r="C4" s="19" t="inlineStr">
        <is>
          <t>Caderno / volume</t>
        </is>
      </c>
      <c r="D4" s="19" t="inlineStr">
        <is>
          <t>Seção / item do MOP</t>
        </is>
      </c>
      <c r="E4" s="19" t="inlineStr">
        <is>
          <t>Ação / subação</t>
        </is>
      </c>
      <c r="F4" s="19" t="inlineStr">
        <is>
          <t>Trecho ou contexto da citação</t>
        </is>
      </c>
      <c r="G4" s="19" t="inlineStr">
        <is>
          <t>Finalidade da referência</t>
        </is>
      </c>
      <c r="H4" s="19" t="inlineStr">
        <is>
          <t>Tipo de vínculo</t>
        </is>
      </c>
      <c r="I4" s="19" t="inlineStr">
        <is>
          <t>Necessita atualização do MOP?</t>
        </is>
      </c>
      <c r="J4" s="19" t="inlineStr">
        <is>
          <t>Responsável pelo ajuste</t>
        </is>
      </c>
      <c r="K4" s="19" t="inlineStr">
        <is>
          <t>Status de revisão</t>
        </is>
      </c>
      <c r="L4" s="19" t="inlineStr">
        <is>
          <t>Data da revisão</t>
        </is>
      </c>
      <c r="M4" s="19" t="inlineStr">
        <is>
          <t>Observações / encaminhamentos</t>
        </is>
      </c>
    </row>
    <row r="5" ht="51" customHeight="1">
      <c r="A5" s="38" t="inlineStr">
        <is>
          <t>C-001</t>
        </is>
      </c>
      <c r="B5" s="38" t="inlineStr">
        <is>
          <t>N-001</t>
        </is>
      </c>
      <c r="C5" s="38" t="inlineStr">
        <is>
          <t>Componente 3</t>
        </is>
      </c>
      <c r="D5" s="38" t="inlineStr">
        <is>
          <t>Atividade 3.2.2 – apresentação</t>
        </is>
      </c>
      <c r="E5" s="38" t="inlineStr">
        <is>
          <t>Atividade 3.2.2</t>
        </is>
      </c>
      <c r="F5" s="38" t="inlineStr">
        <is>
          <t>Correspondência: Acordo de Empréstimo, Parte 3.2(b); nota técnica: NT IAT – Subcomponente 3.2.b (IAT, 2026b); NT 2026…</t>
        </is>
      </c>
      <c r="G5" s="38" t="inlineStr">
        <is>
          <t>Vincular a atividade ao Acordo e à exigência de identificar os locais</t>
        </is>
      </c>
      <c r="H5" s="38" t="inlineStr">
        <is>
          <t>Fundamento legal</t>
        </is>
      </c>
      <c r="I5" s="38" t="inlineStr">
        <is>
          <t>A avaliar</t>
        </is>
      </c>
      <c r="J5" s="38" t="inlineStr">
        <is>
          <t>IAT – equipe da Atividade 3.2.2</t>
        </is>
      </c>
      <c r="K5" s="38" t="inlineStr">
        <is>
          <t>Pendente</t>
        </is>
      </c>
      <c r="L5" s="39" t="n">
        <v>46321</v>
      </c>
      <c r="M5" s="38" t="n"/>
    </row>
    <row r="6" ht="51" customHeight="1">
      <c r="A6" s="38" t="inlineStr">
        <is>
          <t>C-002</t>
        </is>
      </c>
      <c r="B6" s="38" t="inlineStr">
        <is>
          <t>N-001</t>
        </is>
      </c>
      <c r="C6" s="38" t="inlineStr">
        <is>
          <t>Componente 3</t>
        </is>
      </c>
      <c r="D6" s="38" t="inlineStr">
        <is>
          <t>2. Área de atuação</t>
        </is>
      </c>
      <c r="E6" s="38" t="inlineStr">
        <is>
          <t>Ação 3.2.2.1</t>
        </is>
      </c>
      <c r="F6" s="38" t="inlineStr">
        <is>
          <t>O Acordo de Empréstimo, item (j)(vii), pede a identificação das áreas rurais da Parte 3.2. O mapa most…</t>
        </is>
      </c>
      <c r="G6" s="38" t="inlineStr">
        <is>
          <t>Vincular a atividade ao Acordo e à exigência de identificar os locais</t>
        </is>
      </c>
      <c r="H6" s="38" t="inlineStr">
        <is>
          <t>Fundamento legal</t>
        </is>
      </c>
      <c r="I6" s="38" t="inlineStr">
        <is>
          <t>Sim</t>
        </is>
      </c>
      <c r="J6" s="38" t="inlineStr">
        <is>
          <t>IAT – equipe da Atividade 3.2.2</t>
        </is>
      </c>
      <c r="K6" s="38" t="inlineStr">
        <is>
          <t>Pendente</t>
        </is>
      </c>
      <c r="L6" s="39" t="n">
        <v>46321</v>
      </c>
      <c r="M6" s="38" t="inlineStr">
        <is>
          <t>Citação em comentário de revisão do Word, não no corpo do texto. Incluir no MOP a lista ou o mapa dos locais de intervenção.</t>
        </is>
      </c>
    </row>
    <row r="7" ht="66" customHeight="1">
      <c r="A7" s="38" t="inlineStr">
        <is>
          <t>C-003</t>
        </is>
      </c>
      <c r="B7" s="38" t="inlineStr">
        <is>
          <t>N-007</t>
        </is>
      </c>
      <c r="C7" s="38" t="inlineStr">
        <is>
          <t>Componente 3</t>
        </is>
      </c>
      <c r="D7" s="38" t="inlineStr">
        <is>
          <t>4. Processo de execução operacional › 4.1 Etapa 1: Estudos preliminares e escolha do modelo</t>
        </is>
      </c>
      <c r="E7" s="38" t="inlineStr">
        <is>
          <t>Ação 3.2.2.1</t>
        </is>
      </c>
      <c r="F7" s="38" t="inlineStr">
        <is>
          <t>…se sujeita ao Marco Regulatório das Organizações da Sociedade Civil (MROSC), e o uso da infraestrutura pública é formalizado por Acordo de Cooperação, depois que o munic…</t>
        </is>
      </c>
      <c r="G7" s="38" t="inlineStr">
        <is>
          <t>Fundamentar a gestão por associações e o Acordo de Cooperação</t>
        </is>
      </c>
      <c r="H7" s="38" t="inlineStr">
        <is>
          <t>Fundamento legal</t>
        </is>
      </c>
      <c r="I7" s="38" t="inlineStr">
        <is>
          <t>A avaliar</t>
        </is>
      </c>
      <c r="J7" s="38" t="inlineStr">
        <is>
          <t>IAT – equipe da Atividade 3.2.2</t>
        </is>
      </c>
      <c r="K7" s="38" t="inlineStr">
        <is>
          <t>Pendente</t>
        </is>
      </c>
      <c r="L7" s="39" t="n">
        <v>46321</v>
      </c>
      <c r="M7" s="38" t="n"/>
    </row>
    <row r="8" ht="111" customHeight="1">
      <c r="A8" s="38" t="inlineStr">
        <is>
          <t>C-004</t>
        </is>
      </c>
      <c r="B8" s="38" t="inlineStr">
        <is>
          <t>N-007</t>
        </is>
      </c>
      <c r="C8" s="38" t="inlineStr">
        <is>
          <t>Componente 3</t>
        </is>
      </c>
      <c r="D8" s="38" t="inlineStr">
        <is>
          <t>4. Processo de execução operacional › 4.1 Etapa 1: Estudos preliminares e escolha do modelo › Quadro “Alternativas de modelo de gestão e seu amparo legal”, linha “Amparo legal”</t>
        </is>
      </c>
      <c r="E8" s="38" t="inlineStr">
        <is>
          <t>Ação 3.2.2.1</t>
        </is>
      </c>
      <c r="F8" s="38" t="inlineStr">
        <is>
          <t>MROSC (Lei nº 13.019/2014)</t>
        </is>
      </c>
      <c r="G8" s="38" t="inlineStr">
        <is>
          <t>Fundamentar a gestão por associações e o Acordo de Cooperação</t>
        </is>
      </c>
      <c r="H8" s="38" t="inlineStr">
        <is>
          <t>Fundamento legal</t>
        </is>
      </c>
      <c r="I8" s="38" t="inlineStr">
        <is>
          <t>A avaliar</t>
        </is>
      </c>
      <c r="J8" s="38" t="inlineStr">
        <is>
          <t>IAT – equipe da Atividade 3.2.2</t>
        </is>
      </c>
      <c r="K8" s="38" t="inlineStr">
        <is>
          <t>Pendente</t>
        </is>
      </c>
      <c r="L8" s="39" t="n">
        <v>46321</v>
      </c>
      <c r="M8" s="38" t="inlineStr">
        <is>
          <t>Citação em quadro. Mais 1 menção(ões) no mesmo item.</t>
        </is>
      </c>
    </row>
    <row r="9" ht="111" customHeight="1">
      <c r="A9" s="38" t="inlineStr">
        <is>
          <t>C-005</t>
        </is>
      </c>
      <c r="B9" s="38" t="inlineStr">
        <is>
          <t>N-011</t>
        </is>
      </c>
      <c r="C9" s="38" t="inlineStr">
        <is>
          <t>Componente 3</t>
        </is>
      </c>
      <c r="D9" s="38" t="inlineStr">
        <is>
          <t>4. Processo de execução operacional › 4.1 Etapa 1: Estudos preliminares e escolha do modelo › Quadro “Alternativas de modelo de gestão e seu amparo legal”, linha “Amparo legal”</t>
        </is>
      </c>
      <c r="E9" s="38" t="inlineStr">
        <is>
          <t>Ação 3.2.2.1</t>
        </is>
      </c>
      <c r="F9" s="38" t="inlineStr">
        <is>
          <t>MROSC; a nota técnica cita também o Decreto nº 11.599/2023 e a Portaria Funasa nº 2.777/2025</t>
        </is>
      </c>
      <c r="G9" s="38" t="inlineStr">
        <is>
          <t>Respaldo aos arranjos associativos, segundo a nota técnica</t>
        </is>
      </c>
      <c r="H9" s="38" t="inlineStr">
        <is>
          <t>Fundamento legal</t>
        </is>
      </c>
      <c r="I9" s="38" t="inlineStr">
        <is>
          <t>A avaliar</t>
        </is>
      </c>
      <c r="J9" s="38" t="inlineStr">
        <is>
          <t>IAT – equipe da Atividade 3.2.2</t>
        </is>
      </c>
      <c r="K9" s="38" t="inlineStr">
        <is>
          <t>Em revisão</t>
        </is>
      </c>
      <c r="L9" s="39" t="n">
        <v>46321</v>
      </c>
      <c r="M9" s="38" t="inlineStr">
        <is>
          <t>Citação em quadro. Conferir se a norma dá o respaldo citado pela nota técnica (ver Cadastro normativo).</t>
        </is>
      </c>
    </row>
    <row r="10" ht="111" customHeight="1">
      <c r="A10" s="38" t="inlineStr">
        <is>
          <t>C-006</t>
        </is>
      </c>
      <c r="B10" s="38" t="inlineStr">
        <is>
          <t>N-012</t>
        </is>
      </c>
      <c r="C10" s="38" t="inlineStr">
        <is>
          <t>Componente 3</t>
        </is>
      </c>
      <c r="D10" s="38" t="inlineStr">
        <is>
          <t>4. Processo de execução operacional › 4.1 Etapa 1: Estudos preliminares e escolha do modelo › Quadro “Alternativas de modelo de gestão e seu amparo legal”, linha “Amparo legal”</t>
        </is>
      </c>
      <c r="E10" s="38" t="inlineStr">
        <is>
          <t>Ação 3.2.2.1</t>
        </is>
      </c>
      <c r="F10" s="38" t="inlineStr">
        <is>
          <t>MROSC; a nota técnica cita também o Decreto nº 11.599/2023 e a Portaria Funasa nº 2.777/2025</t>
        </is>
      </c>
      <c r="G10" s="38" t="inlineStr">
        <is>
          <t>Respaldo aos arranjos associativos, segundo a nota técnica</t>
        </is>
      </c>
      <c r="H10" s="38" t="inlineStr">
        <is>
          <t>Fundamento legal</t>
        </is>
      </c>
      <c r="I10" s="38" t="inlineStr">
        <is>
          <t>A avaliar</t>
        </is>
      </c>
      <c r="J10" s="38" t="inlineStr">
        <is>
          <t>IAT – equipe da Atividade 3.2.2</t>
        </is>
      </c>
      <c r="K10" s="38" t="inlineStr">
        <is>
          <t>Em revisão</t>
        </is>
      </c>
      <c r="L10" s="39" t="n">
        <v>46321</v>
      </c>
      <c r="M10" s="38" t="inlineStr">
        <is>
          <t>Citação em quadro. Conferir se a norma dá o respaldo citado pela nota técnica (ver Cadastro normativo).</t>
        </is>
      </c>
    </row>
    <row r="11" ht="111" customHeight="1">
      <c r="A11" s="38" t="inlineStr">
        <is>
          <t>C-007</t>
        </is>
      </c>
      <c r="B11" s="38" t="inlineStr">
        <is>
          <t>N-005</t>
        </is>
      </c>
      <c r="C11" s="38" t="inlineStr">
        <is>
          <t>Componente 3</t>
        </is>
      </c>
      <c r="D11" s="38" t="inlineStr">
        <is>
          <t>4. Processo de execução operacional › 4.1 Etapa 1: Estudos preliminares e escolha do modelo › Quadro “Alternativas de modelo de gestão e seu amparo legal”, linha “Amparo legal”</t>
        </is>
      </c>
      <c r="E11" s="38" t="inlineStr">
        <is>
          <t>Ação 3.2.2.1</t>
        </is>
      </c>
      <c r="F11" s="38" t="inlineStr">
        <is>
          <t>Lei dos Consórcios Públicos (Lei nº 11.107/2005) e Lei nº 11.445/2007</t>
        </is>
      </c>
      <c r="G11" s="38" t="inlineStr">
        <is>
          <t>Fundamentar a alternativa de gestão por consórcio público</t>
        </is>
      </c>
      <c r="H11" s="38" t="inlineStr">
        <is>
          <t>Fundamento legal</t>
        </is>
      </c>
      <c r="I11" s="38" t="inlineStr">
        <is>
          <t>A avaliar</t>
        </is>
      </c>
      <c r="J11" s="38" t="inlineStr">
        <is>
          <t>IAT – equipe da Atividade 3.2.2</t>
        </is>
      </c>
      <c r="K11" s="38" t="inlineStr">
        <is>
          <t>Pendente</t>
        </is>
      </c>
      <c r="L11" s="39" t="n">
        <v>46321</v>
      </c>
      <c r="M11" s="38" t="inlineStr">
        <is>
          <t>Citação em quadro.</t>
        </is>
      </c>
    </row>
    <row r="12" ht="111" customHeight="1">
      <c r="A12" s="38" t="inlineStr">
        <is>
          <t>C-008</t>
        </is>
      </c>
      <c r="B12" s="38" t="inlineStr">
        <is>
          <t>N-006</t>
        </is>
      </c>
      <c r="C12" s="38" t="inlineStr">
        <is>
          <t>Componente 3</t>
        </is>
      </c>
      <c r="D12" s="38" t="inlineStr">
        <is>
          <t>4. Processo de execução operacional › 4.1 Etapa 1: Estudos preliminares e escolha do modelo › Quadro “Alternativas de modelo de gestão e seu amparo legal”, linha “Amparo legal”</t>
        </is>
      </c>
      <c r="E12" s="38" t="inlineStr">
        <is>
          <t>Ação 3.2.2.1</t>
        </is>
      </c>
      <c r="F12" s="38" t="inlineStr">
        <is>
          <t>Lei dos Consórcios Públicos (Lei nº 11.107/2005) e Lei nº 11.445/2007</t>
        </is>
      </c>
      <c r="G12" s="38" t="inlineStr">
        <is>
          <t>Situar o arranjo de gestão no marco legal do saneamento</t>
        </is>
      </c>
      <c r="H12" s="38" t="inlineStr">
        <is>
          <t>Fundamento legal</t>
        </is>
      </c>
      <c r="I12" s="38" t="inlineStr">
        <is>
          <t>A avaliar</t>
        </is>
      </c>
      <c r="J12" s="38" t="inlineStr">
        <is>
          <t>IAT – equipe da Atividade 3.2.2</t>
        </is>
      </c>
      <c r="K12" s="38" t="inlineStr">
        <is>
          <t>Pendente</t>
        </is>
      </c>
      <c r="L12" s="39" t="n">
        <v>46321</v>
      </c>
      <c r="M12" s="38" t="inlineStr">
        <is>
          <t>Citação em quadro.</t>
        </is>
      </c>
    </row>
    <row r="13" ht="66" customHeight="1">
      <c r="A13" s="38" t="inlineStr">
        <is>
          <t>C-009</t>
        </is>
      </c>
      <c r="B13" s="38" t="inlineStr">
        <is>
          <t>N-005</t>
        </is>
      </c>
      <c r="C13" s="38" t="inlineStr">
        <is>
          <t>Componente 3</t>
        </is>
      </c>
      <c r="D13" s="38" t="inlineStr">
        <is>
          <t>4. Processo de execução operacional › 4.1 Etapa 1: Estudos preliminares e escolha do modelo</t>
        </is>
      </c>
      <c r="E13" s="38" t="inlineStr">
        <is>
          <t>Ação 3.2.2.1</t>
        </is>
      </c>
      <c r="F13" s="38" t="inlineStr">
        <is>
          <t>…restam o serviço de forma associada, por meio de um consórcio público (BRASIL, 2005). É a alternativa preliminar apontada para o Paraná, porque muitos municípios já integ…</t>
        </is>
      </c>
      <c r="G13" s="38" t="inlineStr">
        <is>
          <t>Fundamentar a alternativa de gestão por consórcio público</t>
        </is>
      </c>
      <c r="H13" s="38" t="inlineStr">
        <is>
          <t>Fundamento legal</t>
        </is>
      </c>
      <c r="I13" s="38" t="inlineStr">
        <is>
          <t>A avaliar</t>
        </is>
      </c>
      <c r="J13" s="38" t="inlineStr">
        <is>
          <t>IAT – equipe da Atividade 3.2.2</t>
        </is>
      </c>
      <c r="K13" s="38" t="inlineStr">
        <is>
          <t>Pendente</t>
        </is>
      </c>
      <c r="L13" s="39" t="n">
        <v>46321</v>
      </c>
      <c r="M13" s="38" t="n"/>
    </row>
    <row r="14" ht="66" customHeight="1">
      <c r="A14" s="38" t="inlineStr">
        <is>
          <t>C-010</t>
        </is>
      </c>
      <c r="B14" s="38" t="inlineStr">
        <is>
          <t>N-009</t>
        </is>
      </c>
      <c r="C14" s="38" t="inlineStr">
        <is>
          <t>Componente 3</t>
        </is>
      </c>
      <c r="D14" s="38" t="inlineStr">
        <is>
          <t>4. Processo de execução operacional › 4.1 Etapa 1: Estudos preliminares e escolha do modelo</t>
        </is>
      </c>
      <c r="E14" s="38" t="inlineStr">
        <is>
          <t>Ação 3.2.2.1</t>
        </is>
      </c>
      <c r="F14" s="38" t="inlineStr">
        <is>
          <t>…os arranjos associativos no marco legal do saneamento atualizado pela Lei nº 14.026/2020 (IAT, 2026a).</t>
        </is>
      </c>
      <c r="G14" s="38" t="inlineStr">
        <is>
          <t>Situar os arranjos no marco legal atualizado do saneamento</t>
        </is>
      </c>
      <c r="H14" s="38" t="inlineStr">
        <is>
          <t>Fundamento legal</t>
        </is>
      </c>
      <c r="I14" s="38" t="inlineStr">
        <is>
          <t>A avaliar</t>
        </is>
      </c>
      <c r="J14" s="38" t="inlineStr">
        <is>
          <t>IAT – equipe da Atividade 3.2.2</t>
        </is>
      </c>
      <c r="K14" s="38" t="inlineStr">
        <is>
          <t>Pendente</t>
        </is>
      </c>
      <c r="L14" s="39" t="n">
        <v>46321</v>
      </c>
      <c r="M14" s="38" t="n"/>
    </row>
    <row r="15" ht="66" customHeight="1">
      <c r="A15" s="38" t="inlineStr">
        <is>
          <t>C-011</t>
        </is>
      </c>
      <c r="B15" s="38" t="inlineStr">
        <is>
          <t>N-011</t>
        </is>
      </c>
      <c r="C15" s="38" t="inlineStr">
        <is>
          <t>Componente 3</t>
        </is>
      </c>
      <c r="D15" s="38" t="inlineStr">
        <is>
          <t>4. Processo de execução operacional › 4.1 Etapa 1: Estudos preliminares e escolha do modelo</t>
        </is>
      </c>
      <c r="E15" s="38" t="inlineStr">
        <is>
          <t>Ação 3.2.2.1</t>
        </is>
      </c>
      <c r="F15" s="38" t="inlineStr">
        <is>
          <t>…de um mandato para outro. A nota técnica do Componente 3 cita ainda o Decreto nº 11.599/2023 e a Portaria Funasa nº 2.777/2025 como respaldo aos arranjos associativos no…</t>
        </is>
      </c>
      <c r="G15" s="38" t="inlineStr">
        <is>
          <t>Respaldo aos arranjos associativos, segundo a nota técnica</t>
        </is>
      </c>
      <c r="H15" s="38" t="inlineStr">
        <is>
          <t>Fundamento legal</t>
        </is>
      </c>
      <c r="I15" s="38" t="inlineStr">
        <is>
          <t>A avaliar</t>
        </is>
      </c>
      <c r="J15" s="38" t="inlineStr">
        <is>
          <t>IAT – equipe da Atividade 3.2.2</t>
        </is>
      </c>
      <c r="K15" s="38" t="inlineStr">
        <is>
          <t>Em revisão</t>
        </is>
      </c>
      <c r="L15" s="39" t="n">
        <v>46321</v>
      </c>
      <c r="M15" s="38" t="inlineStr">
        <is>
          <t>Conferir se a norma dá o respaldo citado pela nota técnica (ver Cadastro normativo).</t>
        </is>
      </c>
    </row>
    <row r="16" ht="66" customHeight="1">
      <c r="A16" s="38" t="inlineStr">
        <is>
          <t>C-012</t>
        </is>
      </c>
      <c r="B16" s="38" t="inlineStr">
        <is>
          <t>N-012</t>
        </is>
      </c>
      <c r="C16" s="38" t="inlineStr">
        <is>
          <t>Componente 3</t>
        </is>
      </c>
      <c r="D16" s="38" t="inlineStr">
        <is>
          <t>4. Processo de execução operacional › 4.1 Etapa 1: Estudos preliminares e escolha do modelo</t>
        </is>
      </c>
      <c r="E16" s="38" t="inlineStr">
        <is>
          <t>Ação 3.2.2.1</t>
        </is>
      </c>
      <c r="F16" s="38" t="inlineStr">
        <is>
          <t>…nota técnica do Componente 3 cita ainda o Decreto nº 11.599/2023 e a Portaria Funasa nº 2.777/2025 como respaldo aos arranjos associativos no marco legal do saneamento a…</t>
        </is>
      </c>
      <c r="G16" s="38" t="inlineStr">
        <is>
          <t>Respaldo aos arranjos associativos, segundo a nota técnica</t>
        </is>
      </c>
      <c r="H16" s="38" t="inlineStr">
        <is>
          <t>Fundamento legal</t>
        </is>
      </c>
      <c r="I16" s="38" t="inlineStr">
        <is>
          <t>A avaliar</t>
        </is>
      </c>
      <c r="J16" s="38" t="inlineStr">
        <is>
          <t>IAT – equipe da Atividade 3.2.2</t>
        </is>
      </c>
      <c r="K16" s="38" t="inlineStr">
        <is>
          <t>Em revisão</t>
        </is>
      </c>
      <c r="L16" s="39" t="n">
        <v>46321</v>
      </c>
      <c r="M16" s="38" t="inlineStr">
        <is>
          <t>Conferir se a norma dá o respaldo citado pela nota técnica (ver Cadastro normativo).</t>
        </is>
      </c>
    </row>
    <row r="17" ht="66" customHeight="1">
      <c r="A17" s="38" t="inlineStr">
        <is>
          <t>C-013</t>
        </is>
      </c>
      <c r="B17" s="38" t="inlineStr">
        <is>
          <t>N-011</t>
        </is>
      </c>
      <c r="C17" s="38" t="inlineStr">
        <is>
          <t>Componente 3</t>
        </is>
      </c>
      <c r="D17" s="38" t="inlineStr">
        <is>
          <t>4. Processo de execução operacional › 4.1 Etapa 1: Estudos preliminares e escolha do modelo</t>
        </is>
      </c>
      <c r="E17" s="38" t="inlineStr">
        <is>
          <t>Ação 3.2.2.1</t>
        </is>
      </c>
      <c r="F17" s="38" t="inlineStr">
        <is>
          <t>Conferir o amparo citado pela nota técnica. O Decreto nº 11.599/2023 trata da prestação regionalizada e do apoio técnico e financeiro da União; a…</t>
        </is>
      </c>
      <c r="G17" s="38" t="inlineStr">
        <is>
          <t>Respaldo aos arranjos associativos, segundo a nota técnica</t>
        </is>
      </c>
      <c r="H17" s="38" t="inlineStr">
        <is>
          <t>Fundamento legal</t>
        </is>
      </c>
      <c r="I17" s="38" t="inlineStr">
        <is>
          <t>A avaliar</t>
        </is>
      </c>
      <c r="J17" s="38" t="inlineStr">
        <is>
          <t>IAT – equipe da Atividade 3.2.2</t>
        </is>
      </c>
      <c r="K17" s="38" t="inlineStr">
        <is>
          <t>Em revisão</t>
        </is>
      </c>
      <c r="L17" s="39" t="n">
        <v>46321</v>
      </c>
      <c r="M17" s="38" t="inlineStr">
        <is>
          <t>Citação em comentário de revisão do Word, não no corpo do texto. Conferir se a norma dá o respaldo citado pela nota técnica (ver Cadastro normativo).</t>
        </is>
      </c>
    </row>
    <row r="18" ht="66" customHeight="1">
      <c r="A18" s="38" t="inlineStr">
        <is>
          <t>C-014</t>
        </is>
      </c>
      <c r="B18" s="38" t="inlineStr">
        <is>
          <t>N-012</t>
        </is>
      </c>
      <c r="C18" s="38" t="inlineStr">
        <is>
          <t>Componente 3</t>
        </is>
      </c>
      <c r="D18" s="38" t="inlineStr">
        <is>
          <t>4. Processo de execução operacional › 4.1 Etapa 1: Estudos preliminares e escolha do modelo</t>
        </is>
      </c>
      <c r="E18" s="38" t="inlineStr">
        <is>
          <t>Ação 3.2.2.1</t>
        </is>
      </c>
      <c r="F18" s="38" t="inlineStr">
        <is>
          <t>…a prestação regionalizada e do apoio técnico e financeiro da União; a Portaria Funasa nº 2.777/2025 aparece no portal da Funasa como seleção de propostas de abastecimento…</t>
        </is>
      </c>
      <c r="G18" s="38" t="inlineStr">
        <is>
          <t>Respaldo aos arranjos associativos, segundo a nota técnica</t>
        </is>
      </c>
      <c r="H18" s="38" t="inlineStr">
        <is>
          <t>Fundamento legal</t>
        </is>
      </c>
      <c r="I18" s="38" t="inlineStr">
        <is>
          <t>A avaliar</t>
        </is>
      </c>
      <c r="J18" s="38" t="inlineStr">
        <is>
          <t>IAT – equipe da Atividade 3.2.2</t>
        </is>
      </c>
      <c r="K18" s="38" t="inlineStr">
        <is>
          <t>Em revisão</t>
        </is>
      </c>
      <c r="L18" s="39" t="n">
        <v>46321</v>
      </c>
      <c r="M18" s="38" t="inlineStr">
        <is>
          <t>Citação em comentário de revisão do Word, não no corpo do texto. Conferir se a norma dá o respaldo citado pela nota técnica (ver Cadastro normativo).</t>
        </is>
      </c>
    </row>
    <row r="19" ht="66" customHeight="1">
      <c r="A19" s="38" t="inlineStr">
        <is>
          <t>C-015</t>
        </is>
      </c>
      <c r="B19" s="38" t="inlineStr">
        <is>
          <t>N-006</t>
        </is>
      </c>
      <c r="C19" s="38" t="inlineStr">
        <is>
          <t>Componente 3</t>
        </is>
      </c>
      <c r="D19" s="38" t="inlineStr">
        <is>
          <t>4. Processo de execução operacional › 4.1 Etapa 1: Estudos preliminares e escolha do modelo</t>
        </is>
      </c>
      <c r="E19" s="38" t="inlineStr">
        <is>
          <t>Ação 3.2.2.1</t>
        </is>
      </c>
      <c r="F19" s="38" t="inlineStr">
        <is>
          <t>…to de programa no arranjo consorciado. A Lei nº 14.026/2020 alterou a Lei nº 11.445/2007 e restringiu esse instrumento na prestação de serviços de saneamento; confirmar c…</t>
        </is>
      </c>
      <c r="G19" s="38" t="inlineStr">
        <is>
          <t>Situar o arranjo de gestão no marco legal do saneamento</t>
        </is>
      </c>
      <c r="H19" s="38" t="inlineStr">
        <is>
          <t>Fundamento legal</t>
        </is>
      </c>
      <c r="I19" s="38" t="inlineStr">
        <is>
          <t>A avaliar</t>
        </is>
      </c>
      <c r="J19" s="38" t="inlineStr">
        <is>
          <t>IAT – equipe da Atividade 3.2.2</t>
        </is>
      </c>
      <c r="K19" s="38" t="inlineStr">
        <is>
          <t>Pendente</t>
        </is>
      </c>
      <c r="L19" s="39" t="n">
        <v>46321</v>
      </c>
      <c r="M19" s="38" t="inlineStr">
        <is>
          <t>Citação em comentário de revisão do Word, não no corpo do texto.</t>
        </is>
      </c>
    </row>
    <row r="20" ht="66" customHeight="1">
      <c r="A20" s="38" t="inlineStr">
        <is>
          <t>C-016</t>
        </is>
      </c>
      <c r="B20" s="38" t="inlineStr">
        <is>
          <t>N-009</t>
        </is>
      </c>
      <c r="C20" s="38" t="inlineStr">
        <is>
          <t>Componente 3</t>
        </is>
      </c>
      <c r="D20" s="38" t="inlineStr">
        <is>
          <t>4. Processo de execução operacional › 4.1 Etapa 1: Estudos preliminares e escolha do modelo</t>
        </is>
      </c>
      <c r="E20" s="38" t="inlineStr">
        <is>
          <t>Ação 3.2.2.1</t>
        </is>
      </c>
      <c r="F20" s="38" t="inlineStr">
        <is>
          <t>A nota técnica prevê contrato de programa no arranjo consorciado. A Lei nº 14.026/2020 alterou a Lei nº 11.445/2007 e restringiu esse instrumento na prestação de serviç…</t>
        </is>
      </c>
      <c r="G20" s="38" t="inlineStr">
        <is>
          <t>Situar os arranjos no marco legal atualizado do saneamento</t>
        </is>
      </c>
      <c r="H20" s="38" t="inlineStr">
        <is>
          <t>Fundamento legal</t>
        </is>
      </c>
      <c r="I20" s="38" t="inlineStr">
        <is>
          <t>A avaliar</t>
        </is>
      </c>
      <c r="J20" s="38" t="inlineStr">
        <is>
          <t>IAT – equipe da Atividade 3.2.2</t>
        </is>
      </c>
      <c r="K20" s="38" t="inlineStr">
        <is>
          <t>Pendente</t>
        </is>
      </c>
      <c r="L20" s="39" t="n">
        <v>46321</v>
      </c>
      <c r="M20" s="38" t="inlineStr">
        <is>
          <t>Citação em comentário de revisão do Word, não no corpo do texto.</t>
        </is>
      </c>
    </row>
    <row r="21" ht="36" customHeight="1">
      <c r="A21" s="38" t="inlineStr">
        <is>
          <t>C-017</t>
        </is>
      </c>
      <c r="B21" s="38" t="inlineStr">
        <is>
          <t>N-002</t>
        </is>
      </c>
      <c r="C21" s="38" t="inlineStr">
        <is>
          <t>Componente 3</t>
        </is>
      </c>
      <c r="D21" s="38" t="inlineStr">
        <is>
          <t>7. Gestão de riscos e impactos ambientais e sociais</t>
        </is>
      </c>
      <c r="E21" s="38" t="inlineStr">
        <is>
          <t>Ação 3.2.2.1</t>
        </is>
      </c>
      <c r="F21" s="38" t="inlineStr">
        <is>
          <t>…e na sustentabilidade financeira das associações. O Quadro indica as NAS aplicáveis e as medidas.</t>
        </is>
      </c>
      <c r="G21" s="38" t="inlineStr">
        <is>
          <t>Indicar as NAS aplicáveis e as medidas da ação</t>
        </is>
      </c>
      <c r="H21" s="38" t="inlineStr">
        <is>
          <t>Requisito ambiental e social</t>
        </is>
      </c>
      <c r="I21" s="38" t="inlineStr">
        <is>
          <t>A avaliar</t>
        </is>
      </c>
      <c r="J21" s="38" t="inlineStr">
        <is>
          <t>IAT – equipe da Atividade 3.2.2</t>
        </is>
      </c>
      <c r="K21" s="38" t="inlineStr">
        <is>
          <t>Pendente</t>
        </is>
      </c>
      <c r="L21" s="39" t="n">
        <v>46321</v>
      </c>
      <c r="M21" s="38" t="inlineStr">
        <is>
          <t>Mais 1 menção(ões) no mesmo item.</t>
        </is>
      </c>
    </row>
    <row r="22" ht="96" customHeight="1">
      <c r="A22" s="38" t="inlineStr">
        <is>
          <t>C-018</t>
        </is>
      </c>
      <c r="B22" s="38" t="inlineStr">
        <is>
          <t>N-002</t>
        </is>
      </c>
      <c r="C22" s="38" t="inlineStr">
        <is>
          <t>Componente 3</t>
        </is>
      </c>
      <c r="D22" s="38" t="inlineStr">
        <is>
          <t>7. Gestão de riscos e impactos ambientais e sociais › Quadro “Aplicação das Normas Ambientais e Sociais à Ação 3.2.2.1”, linha “NAS 1 – Avaliação e gestão de riscos”</t>
        </is>
      </c>
      <c r="E22" s="38" t="inlineStr">
        <is>
          <t>Ação 3.2.2.1</t>
        </is>
      </c>
      <c r="F22" s="38" t="inlineStr">
        <is>
          <t>NAS 1 – Avaliação e gestão de riscos</t>
        </is>
      </c>
      <c r="G22" s="38" t="inlineStr">
        <is>
          <t>Indicar as NAS aplicáveis e as medidas da ação</t>
        </is>
      </c>
      <c r="H22" s="38" t="inlineStr">
        <is>
          <t>Requisito ambiental e social</t>
        </is>
      </c>
      <c r="I22" s="38" t="inlineStr">
        <is>
          <t>A avaliar</t>
        </is>
      </c>
      <c r="J22" s="38" t="inlineStr">
        <is>
          <t>IAT – equipe da Atividade 3.2.2</t>
        </is>
      </c>
      <c r="K22" s="38" t="inlineStr">
        <is>
          <t>Pendente</t>
        </is>
      </c>
      <c r="L22" s="39" t="n">
        <v>46321</v>
      </c>
      <c r="M22" s="38" t="inlineStr">
        <is>
          <t>Citação em quadro. Mais 3 menção(ões) no mesmo item.</t>
        </is>
      </c>
    </row>
    <row r="23" ht="51" customHeight="1">
      <c r="A23" s="38" t="inlineStr">
        <is>
          <t>C-019</t>
        </is>
      </c>
      <c r="B23" s="38" t="inlineStr">
        <is>
          <t>N-005</t>
        </is>
      </c>
      <c r="C23" s="38" t="inlineStr">
        <is>
          <t>Componente 3</t>
        </is>
      </c>
      <c r="D23" s="38" t="inlineStr">
        <is>
          <t>10. Documentos complementares</t>
        </is>
      </c>
      <c r="E23" s="38" t="inlineStr">
        <is>
          <t>Ação 3.2.2.1</t>
        </is>
      </c>
      <c r="F23" s="38" t="inlineStr">
        <is>
          <t>Lei nº 13.019/2014 (MROSC), Lei nº 11.107/2005 (consórcios públicos), Lei nº 11.445/2007, com a redação da Lei nº 14.026/2020 (m…</t>
        </is>
      </c>
      <c r="G23" s="38" t="inlineStr">
        <is>
          <t>Fundamentar a alternativa de gestão por consórcio público</t>
        </is>
      </c>
      <c r="H23" s="38" t="inlineStr">
        <is>
          <t>Fundamento legal</t>
        </is>
      </c>
      <c r="I23" s="38" t="inlineStr">
        <is>
          <t>A avaliar</t>
        </is>
      </c>
      <c r="J23" s="38" t="inlineStr">
        <is>
          <t>IAT – equipe da Atividade 3.2.2</t>
        </is>
      </c>
      <c r="K23" s="38" t="inlineStr">
        <is>
          <t>Pendente</t>
        </is>
      </c>
      <c r="L23" s="39" t="n">
        <v>46321</v>
      </c>
      <c r="M23" s="38" t="n"/>
    </row>
    <row r="24" ht="66" customHeight="1">
      <c r="A24" s="38" t="inlineStr">
        <is>
          <t>C-020</t>
        </is>
      </c>
      <c r="B24" s="38" t="inlineStr">
        <is>
          <t>N-006</t>
        </is>
      </c>
      <c r="C24" s="38" t="inlineStr">
        <is>
          <t>Componente 3</t>
        </is>
      </c>
      <c r="D24" s="38" t="inlineStr">
        <is>
          <t>10. Documentos complementares</t>
        </is>
      </c>
      <c r="E24" s="38" t="inlineStr">
        <is>
          <t>Ação 3.2.2.1</t>
        </is>
      </c>
      <c r="F24" s="38" t="inlineStr">
        <is>
          <t>Lei nº 13.019/2014 (MROSC), Lei nº 11.107/2005 (consórcios públicos), Lei nº 11.445/2007, com a redação da Lei nº 14.026/2020 (marco legal do saneamento), e Decreto nº 11…</t>
        </is>
      </c>
      <c r="G24" s="38" t="inlineStr">
        <is>
          <t>Situar o arranjo de gestão no marco legal do saneamento</t>
        </is>
      </c>
      <c r="H24" s="38" t="inlineStr">
        <is>
          <t>Fundamento legal</t>
        </is>
      </c>
      <c r="I24" s="38" t="inlineStr">
        <is>
          <t>A avaliar</t>
        </is>
      </c>
      <c r="J24" s="38" t="inlineStr">
        <is>
          <t>IAT – equipe da Atividade 3.2.2</t>
        </is>
      </c>
      <c r="K24" s="38" t="inlineStr">
        <is>
          <t>Pendente</t>
        </is>
      </c>
      <c r="L24" s="39" t="n">
        <v>46321</v>
      </c>
      <c r="M24" s="38" t="n"/>
    </row>
    <row r="25" ht="36" customHeight="1">
      <c r="A25" s="38" t="inlineStr">
        <is>
          <t>C-021</t>
        </is>
      </c>
      <c r="B25" s="38" t="inlineStr">
        <is>
          <t>N-007</t>
        </is>
      </c>
      <c r="C25" s="38" t="inlineStr">
        <is>
          <t>Componente 3</t>
        </is>
      </c>
      <c r="D25" s="38" t="inlineStr">
        <is>
          <t>10. Documentos complementares</t>
        </is>
      </c>
      <c r="E25" s="38" t="inlineStr">
        <is>
          <t>Ação 3.2.2.1</t>
        </is>
      </c>
      <c r="F25" s="38" t="inlineStr">
        <is>
          <t>Lei nº 13.019/2014 (MROSC), Lei nº 11.107/2005 (consórcios públicos), Lei nº 11.445/2007, com a reda…</t>
        </is>
      </c>
      <c r="G25" s="38" t="inlineStr">
        <is>
          <t>Fundamentar a gestão por associações e o Acordo de Cooperação</t>
        </is>
      </c>
      <c r="H25" s="38" t="inlineStr">
        <is>
          <t>Fundamento legal</t>
        </is>
      </c>
      <c r="I25" s="38" t="inlineStr">
        <is>
          <t>A avaliar</t>
        </is>
      </c>
      <c r="J25" s="38" t="inlineStr">
        <is>
          <t>IAT – equipe da Atividade 3.2.2</t>
        </is>
      </c>
      <c r="K25" s="38" t="inlineStr">
        <is>
          <t>Pendente</t>
        </is>
      </c>
      <c r="L25" s="39" t="n">
        <v>46321</v>
      </c>
      <c r="M25" s="38" t="n"/>
    </row>
    <row r="26" ht="51" customHeight="1">
      <c r="A26" s="38" t="inlineStr">
        <is>
          <t>C-022</t>
        </is>
      </c>
      <c r="B26" s="38" t="inlineStr">
        <is>
          <t>N-009</t>
        </is>
      </c>
      <c r="C26" s="38" t="inlineStr">
        <is>
          <t>Componente 3</t>
        </is>
      </c>
      <c r="D26" s="38" t="inlineStr">
        <is>
          <t>10. Documentos complementares</t>
        </is>
      </c>
      <c r="E26" s="38" t="inlineStr">
        <is>
          <t>Ação 3.2.2.1</t>
        </is>
      </c>
      <c r="F26" s="38" t="inlineStr">
        <is>
          <t>….107/2005 (consórcios públicos), Lei nº 11.445/2007, com a redação da Lei nº 14.026/2020 (marco legal do saneamento), e Decreto nº 11.599/2023;</t>
        </is>
      </c>
      <c r="G26" s="38" t="inlineStr">
        <is>
          <t>Situar os arranjos no marco legal atualizado do saneamento</t>
        </is>
      </c>
      <c r="H26" s="38" t="inlineStr">
        <is>
          <t>Fundamento legal</t>
        </is>
      </c>
      <c r="I26" s="38" t="inlineStr">
        <is>
          <t>A avaliar</t>
        </is>
      </c>
      <c r="J26" s="38" t="inlineStr">
        <is>
          <t>IAT – equipe da Atividade 3.2.2</t>
        </is>
      </c>
      <c r="K26" s="38" t="inlineStr">
        <is>
          <t>Pendente</t>
        </is>
      </c>
      <c r="L26" s="39" t="n">
        <v>46321</v>
      </c>
      <c r="M26" s="38" t="n"/>
    </row>
    <row r="27" ht="36" customHeight="1">
      <c r="A27" s="38" t="inlineStr">
        <is>
          <t>C-023</t>
        </is>
      </c>
      <c r="B27" s="38" t="inlineStr">
        <is>
          <t>N-011</t>
        </is>
      </c>
      <c r="C27" s="38" t="inlineStr">
        <is>
          <t>Componente 3</t>
        </is>
      </c>
      <c r="D27" s="38" t="inlineStr">
        <is>
          <t>10. Documentos complementares</t>
        </is>
      </c>
      <c r="E27" s="38" t="inlineStr">
        <is>
          <t>Ação 3.2.2.1</t>
        </is>
      </c>
      <c r="F27" s="38" t="inlineStr">
        <is>
          <t>…7, com a redação da Lei nº 14.026/2020 (marco legal do saneamento), e Decreto nº 11.599/2023;</t>
        </is>
      </c>
      <c r="G27" s="38" t="inlineStr">
        <is>
          <t>Respaldo aos arranjos associativos, segundo a nota técnica</t>
        </is>
      </c>
      <c r="H27" s="38" t="inlineStr">
        <is>
          <t>Fundamento legal</t>
        </is>
      </c>
      <c r="I27" s="38" t="inlineStr">
        <is>
          <t>A avaliar</t>
        </is>
      </c>
      <c r="J27" s="38" t="inlineStr">
        <is>
          <t>IAT – equipe da Atividade 3.2.2</t>
        </is>
      </c>
      <c r="K27" s="38" t="inlineStr">
        <is>
          <t>Em revisão</t>
        </is>
      </c>
      <c r="L27" s="39" t="n">
        <v>46321</v>
      </c>
      <c r="M27" s="38" t="inlineStr">
        <is>
          <t>Conferir se a norma dá o respaldo citado pela nota técnica (ver Cadastro normativo).</t>
        </is>
      </c>
    </row>
    <row r="28" ht="36" customHeight="1">
      <c r="A28" s="38" t="inlineStr">
        <is>
          <t>C-024</t>
        </is>
      </c>
      <c r="B28" s="38" t="inlineStr">
        <is>
          <t>N-015</t>
        </is>
      </c>
      <c r="C28" s="38" t="inlineStr">
        <is>
          <t>Componente 3</t>
        </is>
      </c>
      <c r="D28" s="38" t="inlineStr">
        <is>
          <t>10. Documentos complementares</t>
        </is>
      </c>
      <c r="E28" s="38" t="inlineStr">
        <is>
          <t>Ação 3.2.2.1</t>
        </is>
      </c>
      <c r="F28" s="38" t="inlineStr">
        <is>
          <t>Programa Nacional de Saneamento Rural (BRASIL, 2019);</t>
        </is>
      </c>
      <c r="G28" s="38" t="inlineStr">
        <is>
          <t>Referência conceitual do saneamento rural</t>
        </is>
      </c>
      <c r="H28" s="38" t="inlineStr">
        <is>
          <t>Referência técnica</t>
        </is>
      </c>
      <c r="I28" s="38" t="inlineStr">
        <is>
          <t>A avaliar</t>
        </is>
      </c>
      <c r="J28" s="38" t="inlineStr">
        <is>
          <t>IAT – equipe da Atividade 3.2.2</t>
        </is>
      </c>
      <c r="K28" s="38" t="inlineStr">
        <is>
          <t>Pendente</t>
        </is>
      </c>
      <c r="L28" s="39" t="n">
        <v>46321</v>
      </c>
      <c r="M28" s="38" t="n"/>
    </row>
    <row r="29" ht="66" customHeight="1">
      <c r="A29" s="38" t="inlineStr">
        <is>
          <t>C-025</t>
        </is>
      </c>
      <c r="B29" s="38" t="inlineStr">
        <is>
          <t>N-015</t>
        </is>
      </c>
      <c r="C29" s="38" t="inlineStr">
        <is>
          <t>Componente 3</t>
        </is>
      </c>
      <c r="D29" s="38" t="inlineStr">
        <is>
          <t>1. Contextualização</t>
        </is>
      </c>
      <c r="E29" s="38" t="inlineStr">
        <is>
          <t>Ação 3.2.2.2</t>
        </is>
      </c>
      <c r="F29" s="38" t="inlineStr">
        <is>
          <t>…lias, os sistemas rurais costumam ser subutilizados ou abandonados. O Programa Nacional de Saneamento Rural trata a educação e a participação social como um dos três eixo…</t>
        </is>
      </c>
      <c r="G29" s="38" t="inlineStr">
        <is>
          <t>Referência conceitual do saneamento rural</t>
        </is>
      </c>
      <c r="H29" s="38" t="inlineStr">
        <is>
          <t>Referência técnica</t>
        </is>
      </c>
      <c r="I29" s="38" t="inlineStr">
        <is>
          <t>A avaliar</t>
        </is>
      </c>
      <c r="J29" s="38" t="inlineStr">
        <is>
          <t>IAT – equipe da Atividade 3.2.2</t>
        </is>
      </c>
      <c r="K29" s="38" t="inlineStr">
        <is>
          <t>Pendente</t>
        </is>
      </c>
      <c r="L29" s="39" t="n">
        <v>46321</v>
      </c>
      <c r="M29" s="38" t="n"/>
    </row>
    <row r="30" ht="66" customHeight="1">
      <c r="A30" s="38" t="inlineStr">
        <is>
          <t>C-026</t>
        </is>
      </c>
      <c r="B30" s="38" t="inlineStr">
        <is>
          <t>N-008</t>
        </is>
      </c>
      <c r="C30" s="38" t="inlineStr">
        <is>
          <t>Componente 3</t>
        </is>
      </c>
      <c r="D30" s="38" t="inlineStr">
        <is>
          <t>4. Processo de execução operacional › 4.3 Etapa 3: Busca ativa e cadastro domiciliar</t>
        </is>
      </c>
      <c r="E30" s="38" t="inlineStr">
        <is>
          <t>Ação 3.2.2.2</t>
        </is>
      </c>
      <c r="F30" s="38" t="inlineStr">
        <is>
          <t>…omiciliar georreferenciado. Os dados pessoais são tratados conforme a Lei Geral de Proteção de Dados Pessoais, apenas para as finalidades da ação (BRASIL, 2018).</t>
        </is>
      </c>
      <c r="G30" s="38" t="inlineStr">
        <is>
          <t>Orientar o tratamento dos dados pessoais do cadastro</t>
        </is>
      </c>
      <c r="H30" s="38" t="inlineStr">
        <is>
          <t>Regra de execução</t>
        </is>
      </c>
      <c r="I30" s="38" t="inlineStr">
        <is>
          <t>A avaliar</t>
        </is>
      </c>
      <c r="J30" s="38" t="inlineStr">
        <is>
          <t>IAT – equipe da Atividade 3.2.2</t>
        </is>
      </c>
      <c r="K30" s="38" t="inlineStr">
        <is>
          <t>Pendente</t>
        </is>
      </c>
      <c r="L30" s="39" t="n">
        <v>46321</v>
      </c>
      <c r="M30" s="38" t="n"/>
    </row>
    <row r="31" ht="81" customHeight="1">
      <c r="A31" s="38" t="inlineStr">
        <is>
          <t>C-027</t>
        </is>
      </c>
      <c r="B31" s="38" t="inlineStr">
        <is>
          <t>N-008</t>
        </is>
      </c>
      <c r="C31" s="38" t="inlineStr">
        <is>
          <t>Componente 3</t>
        </is>
      </c>
      <c r="D31" s="38" t="inlineStr">
        <is>
          <t>6. Metas, indicadores e comprovação › Quadro “Critérios de aceite e evidências da Ação 3.2.2.2”, linha “Cadastro domiciliar”</t>
        </is>
      </c>
      <c r="E31" s="38" t="inlineStr">
        <is>
          <t>Ação 3.2.2.2</t>
        </is>
      </c>
      <c r="F31" s="38" t="inlineStr">
        <is>
          <t>…a comunidade visitados e georreferenciados; dados tratados conforme a LGPD</t>
        </is>
      </c>
      <c r="G31" s="38" t="inlineStr">
        <is>
          <t>Orientar o tratamento dos dados pessoais do cadastro</t>
        </is>
      </c>
      <c r="H31" s="38" t="inlineStr">
        <is>
          <t>Regra de execução</t>
        </is>
      </c>
      <c r="I31" s="38" t="inlineStr">
        <is>
          <t>A avaliar</t>
        </is>
      </c>
      <c r="J31" s="38" t="inlineStr">
        <is>
          <t>IAT – equipe da Atividade 3.2.2</t>
        </is>
      </c>
      <c r="K31" s="38" t="inlineStr">
        <is>
          <t>Pendente</t>
        </is>
      </c>
      <c r="L31" s="39" t="n">
        <v>46321</v>
      </c>
      <c r="M31" s="38" t="inlineStr">
        <is>
          <t>Citação em quadro.</t>
        </is>
      </c>
    </row>
    <row r="32" ht="51" customHeight="1">
      <c r="A32" s="38" t="inlineStr">
        <is>
          <t>C-028</t>
        </is>
      </c>
      <c r="B32" s="38" t="inlineStr">
        <is>
          <t>N-002</t>
        </is>
      </c>
      <c r="C32" s="38" t="inlineStr">
        <is>
          <t>Componente 3</t>
        </is>
      </c>
      <c r="D32" s="38" t="inlineStr">
        <is>
          <t>7. Gestão de riscos e impactos ambientais e sociais</t>
        </is>
      </c>
      <c r="E32" s="38" t="inlineStr">
        <is>
          <t>Ação 3.2.2.2</t>
        </is>
      </c>
      <c r="F32" s="38" t="inlineStr">
        <is>
          <t>…po e no tratamento dos dados pessoais do cadastro. O Quadro indica as NAS aplicáveis e as medidas; as NAS 3, 4, 5, 6 e 8 não se aplicam à ação.</t>
        </is>
      </c>
      <c r="G32" s="38" t="inlineStr">
        <is>
          <t>Indicar as NAS aplicáveis e as medidas da ação</t>
        </is>
      </c>
      <c r="H32" s="38" t="inlineStr">
        <is>
          <t>Requisito ambiental e social</t>
        </is>
      </c>
      <c r="I32" s="38" t="inlineStr">
        <is>
          <t>A avaliar</t>
        </is>
      </c>
      <c r="J32" s="38" t="inlineStr">
        <is>
          <t>IAT – equipe da Atividade 3.2.2</t>
        </is>
      </c>
      <c r="K32" s="38" t="inlineStr">
        <is>
          <t>Pendente</t>
        </is>
      </c>
      <c r="L32" s="39" t="n">
        <v>46321</v>
      </c>
      <c r="M32" s="38" t="n"/>
    </row>
    <row r="33" ht="96" customHeight="1">
      <c r="A33" s="38" t="inlineStr">
        <is>
          <t>C-029</t>
        </is>
      </c>
      <c r="B33" s="38" t="inlineStr">
        <is>
          <t>N-002</t>
        </is>
      </c>
      <c r="C33" s="38" t="inlineStr">
        <is>
          <t>Componente 3</t>
        </is>
      </c>
      <c r="D33" s="38" t="inlineStr">
        <is>
          <t>7. Gestão de riscos e impactos ambientais e sociais › Quadro “Aplicação das Normas Ambientais e Sociais à Ação 3.2.2.2”, linha “NAS 1 – Avaliação e gestão de riscos”</t>
        </is>
      </c>
      <c r="E33" s="38" t="inlineStr">
        <is>
          <t>Ação 3.2.2.2</t>
        </is>
      </c>
      <c r="F33" s="38" t="inlineStr">
        <is>
          <t>NAS 1 – Avaliação e gestão de riscos</t>
        </is>
      </c>
      <c r="G33" s="38" t="inlineStr">
        <is>
          <t>Indicar as NAS aplicáveis e as medidas da ação</t>
        </is>
      </c>
      <c r="H33" s="38" t="inlineStr">
        <is>
          <t>Requisito ambiental e social</t>
        </is>
      </c>
      <c r="I33" s="38" t="inlineStr">
        <is>
          <t>A avaliar</t>
        </is>
      </c>
      <c r="J33" s="38" t="inlineStr">
        <is>
          <t>IAT – equipe da Atividade 3.2.2</t>
        </is>
      </c>
      <c r="K33" s="38" t="inlineStr">
        <is>
          <t>Pendente</t>
        </is>
      </c>
      <c r="L33" s="39" t="n">
        <v>46321</v>
      </c>
      <c r="M33" s="38" t="inlineStr">
        <is>
          <t>Citação em quadro. Mais 3 menção(ões) no mesmo item.</t>
        </is>
      </c>
    </row>
    <row r="34" ht="81" customHeight="1">
      <c r="A34" s="38" t="inlineStr">
        <is>
          <t>C-030</t>
        </is>
      </c>
      <c r="B34" s="38" t="inlineStr">
        <is>
          <t>N-008</t>
        </is>
      </c>
      <c r="C34" s="38" t="inlineStr">
        <is>
          <t>Componente 3</t>
        </is>
      </c>
      <c r="D34" s="38" t="inlineStr">
        <is>
          <t>7. Gestão de riscos e impactos ambientais e sociais › Quadro “Aplicação das Normas Ambientais e Sociais à Ação 3.2.2.2”</t>
        </is>
      </c>
      <c r="E34" s="38" t="inlineStr">
        <is>
          <t>Ação 3.2.2.2</t>
        </is>
      </c>
      <c r="F34" s="38" t="inlineStr">
        <is>
          <t>Nota: o cadastro domiciliar segue a Lei Geral de Proteção de Dados Pessoais (BRASIL, 2018).</t>
        </is>
      </c>
      <c r="G34" s="38" t="inlineStr">
        <is>
          <t>Orientar o tratamento dos dados pessoais do cadastro</t>
        </is>
      </c>
      <c r="H34" s="38" t="inlineStr">
        <is>
          <t>Regra de execução</t>
        </is>
      </c>
      <c r="I34" s="38" t="inlineStr">
        <is>
          <t>A avaliar</t>
        </is>
      </c>
      <c r="J34" s="38" t="inlineStr">
        <is>
          <t>IAT – equipe da Atividade 3.2.2</t>
        </is>
      </c>
      <c r="K34" s="38" t="inlineStr">
        <is>
          <t>Pendente</t>
        </is>
      </c>
      <c r="L34" s="39" t="n">
        <v>46321</v>
      </c>
      <c r="M34" s="38" t="inlineStr">
        <is>
          <t>Citação em quadro.</t>
        </is>
      </c>
    </row>
    <row r="35" ht="36" customHeight="1">
      <c r="A35" s="38" t="inlineStr">
        <is>
          <t>C-031</t>
        </is>
      </c>
      <c r="B35" s="38" t="inlineStr">
        <is>
          <t>N-008</t>
        </is>
      </c>
      <c r="C35" s="38" t="inlineStr">
        <is>
          <t>Componente 3</t>
        </is>
      </c>
      <c r="D35" s="38" t="inlineStr">
        <is>
          <t>10. Documentos complementares</t>
        </is>
      </c>
      <c r="E35" s="38" t="inlineStr">
        <is>
          <t>Ação 3.2.2.2</t>
        </is>
      </c>
      <c r="F35" s="38" t="inlineStr">
        <is>
          <t>Lei nº 13.709/2018 (Lei Geral de Proteção de Dados Pessoais);</t>
        </is>
      </c>
      <c r="G35" s="38" t="inlineStr">
        <is>
          <t>Orientar o tratamento dos dados pessoais do cadastro</t>
        </is>
      </c>
      <c r="H35" s="38" t="inlineStr">
        <is>
          <t>Regra de execução</t>
        </is>
      </c>
      <c r="I35" s="38" t="inlineStr">
        <is>
          <t>A avaliar</t>
        </is>
      </c>
      <c r="J35" s="38" t="inlineStr">
        <is>
          <t>IAT – equipe da Atividade 3.2.2</t>
        </is>
      </c>
      <c r="K35" s="38" t="inlineStr">
        <is>
          <t>Pendente</t>
        </is>
      </c>
      <c r="L35" s="39" t="n">
        <v>46321</v>
      </c>
      <c r="M35" s="38" t="n"/>
    </row>
    <row r="36" ht="36" customHeight="1">
      <c r="A36" s="38" t="inlineStr">
        <is>
          <t>C-032</t>
        </is>
      </c>
      <c r="B36" s="38" t="inlineStr">
        <is>
          <t>N-015</t>
        </is>
      </c>
      <c r="C36" s="38" t="inlineStr">
        <is>
          <t>Componente 3</t>
        </is>
      </c>
      <c r="D36" s="38" t="inlineStr">
        <is>
          <t>10. Documentos complementares</t>
        </is>
      </c>
      <c r="E36" s="38" t="inlineStr">
        <is>
          <t>Ação 3.2.2.2</t>
        </is>
      </c>
      <c r="F36" s="38" t="inlineStr">
        <is>
          <t>Programa Nacional de Saneamento Rural (BRASIL, 2019);</t>
        </is>
      </c>
      <c r="G36" s="38" t="inlineStr">
        <is>
          <t>Referência conceitual do saneamento rural</t>
        </is>
      </c>
      <c r="H36" s="38" t="inlineStr">
        <is>
          <t>Referência técnica</t>
        </is>
      </c>
      <c r="I36" s="38" t="inlineStr">
        <is>
          <t>A avaliar</t>
        </is>
      </c>
      <c r="J36" s="38" t="inlineStr">
        <is>
          <t>IAT – equipe da Atividade 3.2.2</t>
        </is>
      </c>
      <c r="K36" s="38" t="inlineStr">
        <is>
          <t>Pendente</t>
        </is>
      </c>
      <c r="L36" s="39" t="n">
        <v>46321</v>
      </c>
      <c r="M36" s="38" t="n"/>
    </row>
    <row r="37" ht="51" customHeight="1">
      <c r="A37" s="38" t="inlineStr">
        <is>
          <t>C-033</t>
        </is>
      </c>
      <c r="B37" s="38" t="inlineStr">
        <is>
          <t>N-001</t>
        </is>
      </c>
      <c r="C37" s="38" t="inlineStr">
        <is>
          <t>Componente 3</t>
        </is>
      </c>
      <c r="D37" s="38" t="inlineStr">
        <is>
          <t>2. Área de atuação</t>
        </is>
      </c>
      <c r="E37" s="38" t="inlineStr">
        <is>
          <t>Ação 3.2.2.3</t>
        </is>
      </c>
      <c r="F37" s="38" t="inlineStr">
        <is>
          <t>O Acordo de Empréstimo, item (j)(vii), pede a identificação das áreas rurais da Parte 3.2. Anexar a li…</t>
        </is>
      </c>
      <c r="G37" s="38" t="inlineStr">
        <is>
          <t>Vincular a atividade ao Acordo e à exigência de identificar os locais</t>
        </is>
      </c>
      <c r="H37" s="38" t="inlineStr">
        <is>
          <t>Fundamento legal</t>
        </is>
      </c>
      <c r="I37" s="38" t="inlineStr">
        <is>
          <t>Sim</t>
        </is>
      </c>
      <c r="J37" s="38" t="inlineStr">
        <is>
          <t>IAT – equipe da Atividade 3.2.2</t>
        </is>
      </c>
      <c r="K37" s="38" t="inlineStr">
        <is>
          <t>Pendente</t>
        </is>
      </c>
      <c r="L37" s="39" t="n">
        <v>46321</v>
      </c>
      <c r="M37" s="38" t="inlineStr">
        <is>
          <t>Citação em comentário de revisão do Word, não no corpo do texto. Incluir no MOP a lista ou o mapa dos locais de intervenção.</t>
        </is>
      </c>
    </row>
    <row r="38" ht="66" customHeight="1">
      <c r="A38" s="38" t="inlineStr">
        <is>
          <t>C-034</t>
        </is>
      </c>
      <c r="B38" s="38" t="inlineStr">
        <is>
          <t>N-003</t>
        </is>
      </c>
      <c r="C38" s="38" t="inlineStr">
        <is>
          <t>Componente 3</t>
        </is>
      </c>
      <c r="D38" s="38" t="inlineStr">
        <is>
          <t>4. Processo de execução operacional › 4.3 Etapa 3: Contratação integrada, projetos e licenças</t>
        </is>
      </c>
      <c r="E38" s="38" t="inlineStr">
        <is>
          <t>Ação 3.2.2.3</t>
        </is>
      </c>
      <c r="F38" s="38" t="inlineStr">
        <is>
          <t>…rt. 6º, XXXIII). Definir o regime e verificar a compatibilidade com o Regulamento de Aquisições do Banco Mundial.</t>
        </is>
      </c>
      <c r="G38" s="38" t="inlineStr">
        <is>
          <t>Indicar as regras das contratações financiadas pelo BIRD</t>
        </is>
      </c>
      <c r="H38" s="38" t="inlineStr">
        <is>
          <t>Aquisições / contratos</t>
        </is>
      </c>
      <c r="I38" s="38" t="inlineStr">
        <is>
          <t>A avaliar</t>
        </is>
      </c>
      <c r="J38" s="38" t="inlineStr">
        <is>
          <t>IAT – equipe da Atividade 3.2.2</t>
        </is>
      </c>
      <c r="K38" s="38" t="inlineStr">
        <is>
          <t>Pendente</t>
        </is>
      </c>
      <c r="L38" s="39" t="n">
        <v>46321</v>
      </c>
      <c r="M38" s="38" t="inlineStr">
        <is>
          <t>Citação em comentário de revisão do Word, não no corpo do texto.</t>
        </is>
      </c>
    </row>
    <row r="39" ht="66" customHeight="1">
      <c r="A39" s="38" t="inlineStr">
        <is>
          <t>C-035</t>
        </is>
      </c>
      <c r="B39" s="38" t="inlineStr">
        <is>
          <t>N-010</t>
        </is>
      </c>
      <c r="C39" s="38" t="inlineStr">
        <is>
          <t>Componente 3</t>
        </is>
      </c>
      <c r="D39" s="38" t="inlineStr">
        <is>
          <t>4. Processo de execução operacional › 4.3 Etapa 3: Contratação integrada, projetos e licenças</t>
        </is>
      </c>
      <c r="E39" s="38" t="inlineStr">
        <is>
          <t>Ação 3.2.2.3</t>
        </is>
      </c>
      <c r="F39" s="38" t="inlineStr">
        <is>
          <t>…o e executa a obra, o que corresponde à contratação semi-integrada da Lei nº 14.133/2021 (art. 6º, XXXIII). Definir o regime e verificar a compatibilidade com o Regulamen…</t>
        </is>
      </c>
      <c r="G39" s="38" t="inlineStr">
        <is>
          <t>Definir o regime de contratação das obras</t>
        </is>
      </c>
      <c r="H39" s="38" t="inlineStr">
        <is>
          <t>Aquisições / contratos</t>
        </is>
      </c>
      <c r="I39" s="38" t="inlineStr">
        <is>
          <t>A avaliar</t>
        </is>
      </c>
      <c r="J39" s="38" t="inlineStr">
        <is>
          <t>IAT – equipe da Atividade 3.2.2</t>
        </is>
      </c>
      <c r="K39" s="38" t="inlineStr">
        <is>
          <t>Pendente</t>
        </is>
      </c>
      <c r="L39" s="39" t="n">
        <v>46321</v>
      </c>
      <c r="M39" s="38" t="inlineStr">
        <is>
          <t>Citação em comentário de revisão do Word, não no corpo do texto.</t>
        </is>
      </c>
    </row>
    <row r="40" ht="66" customHeight="1">
      <c r="A40" s="38" t="inlineStr">
        <is>
          <t>C-036</t>
        </is>
      </c>
      <c r="B40" s="38" t="inlineStr">
        <is>
          <t>N-013</t>
        </is>
      </c>
      <c r="C40" s="38" t="inlineStr">
        <is>
          <t>Componente 3</t>
        </is>
      </c>
      <c r="D40" s="38" t="inlineStr">
        <is>
          <t>4. Processo de execução operacional › 4.6 Etapa 6: Acompanhamento pós-implantação e encerramento</t>
        </is>
      </c>
      <c r="E40" s="38" t="inlineStr">
        <is>
          <t>Ação 3.2.2.3</t>
        </is>
      </c>
      <c r="F40" s="38" t="inlineStr">
        <is>
          <t>…sempenho; acompanhamento da qualidade da água distribuída, conforme o padrão de potabilidade (BRASIL, 2021); registro dos dados no SIGARH e no GeoPR; relatório final e pr…</t>
        </is>
      </c>
      <c r="G40" s="38" t="inlineStr">
        <is>
          <t>Definir o padrão de potabilidade da água entregue</t>
        </is>
      </c>
      <c r="H40" s="38" t="inlineStr">
        <is>
          <t>Regra de execução</t>
        </is>
      </c>
      <c r="I40" s="38" t="inlineStr">
        <is>
          <t>A avaliar</t>
        </is>
      </c>
      <c r="J40" s="38" t="inlineStr">
        <is>
          <t>IAT – equipe da Atividade 3.2.2</t>
        </is>
      </c>
      <c r="K40" s="38" t="inlineStr">
        <is>
          <t>Pendente</t>
        </is>
      </c>
      <c r="L40" s="39" t="n">
        <v>46321</v>
      </c>
      <c r="M40" s="38" t="n"/>
    </row>
    <row r="41" ht="96" customHeight="1">
      <c r="A41" s="38" t="inlineStr">
        <is>
          <t>C-037</t>
        </is>
      </c>
      <c r="B41" s="38" t="inlineStr">
        <is>
          <t>N-013</t>
        </is>
      </c>
      <c r="C41" s="38" t="inlineStr">
        <is>
          <t>Componente 3</t>
        </is>
      </c>
      <c r="D41" s="38" t="inlineStr">
        <is>
          <t>6. Metas, indicadores e comprovação › Quadro “Indicadores da Ação 3.2.2.3”, linha “Análises de entrega conformes ao padrão de potabilidade”</t>
        </is>
      </c>
      <c r="E41" s="38" t="inlineStr">
        <is>
          <t>Ação 3.2.2.3</t>
        </is>
      </c>
      <c r="F41" s="38" t="inlineStr">
        <is>
          <t>Análises de entrega conformes ao padrão de potabilidade</t>
        </is>
      </c>
      <c r="G41" s="38" t="inlineStr">
        <is>
          <t>Definir o padrão de potabilidade da água entregue</t>
        </is>
      </c>
      <c r="H41" s="38" t="inlineStr">
        <is>
          <t>Regra de execução</t>
        </is>
      </c>
      <c r="I41" s="38" t="inlineStr">
        <is>
          <t>A avaliar</t>
        </is>
      </c>
      <c r="J41" s="38" t="inlineStr">
        <is>
          <t>IAT – equipe da Atividade 3.2.2</t>
        </is>
      </c>
      <c r="K41" s="38" t="inlineStr">
        <is>
          <t>Pendente</t>
        </is>
      </c>
      <c r="L41" s="39" t="n">
        <v>46321</v>
      </c>
      <c r="M41" s="38" t="inlineStr">
        <is>
          <t>Citação em quadro. Mais 1 menção(ões) no mesmo item.</t>
        </is>
      </c>
    </row>
    <row r="42" ht="36" customHeight="1">
      <c r="A42" s="38" t="inlineStr">
        <is>
          <t>C-038</t>
        </is>
      </c>
      <c r="B42" s="38" t="inlineStr">
        <is>
          <t>N-002</t>
        </is>
      </c>
      <c r="C42" s="38" t="inlineStr">
        <is>
          <t>Componente 3</t>
        </is>
      </c>
      <c r="D42" s="38" t="inlineStr">
        <is>
          <t>7. Gestão de riscos e impactos ambientais e sociais</t>
        </is>
      </c>
      <c r="E42" s="38" t="inlineStr">
        <is>
          <t>Ação 3.2.2.3</t>
        </is>
      </c>
      <c r="F42" s="38" t="inlineStr">
        <is>
          <t>…uso da água e a exclusão de famílias vulneráveis. O Quadro indica as NAS aplicáveis e as medidas.</t>
        </is>
      </c>
      <c r="G42" s="38" t="inlineStr">
        <is>
          <t>Indicar as NAS aplicáveis e as medidas da ação</t>
        </is>
      </c>
      <c r="H42" s="38" t="inlineStr">
        <is>
          <t>Requisito ambiental e social</t>
        </is>
      </c>
      <c r="I42" s="38" t="inlineStr">
        <is>
          <t>A avaliar</t>
        </is>
      </c>
      <c r="J42" s="38" t="inlineStr">
        <is>
          <t>IAT – equipe da Atividade 3.2.2</t>
        </is>
      </c>
      <c r="K42" s="38" t="inlineStr">
        <is>
          <t>Pendente</t>
        </is>
      </c>
      <c r="L42" s="39" t="n">
        <v>46321</v>
      </c>
      <c r="M42" s="38" t="inlineStr">
        <is>
          <t>Mais 1 menção(ões) no mesmo item.</t>
        </is>
      </c>
    </row>
    <row r="43" ht="96" customHeight="1">
      <c r="A43" s="38" t="inlineStr">
        <is>
          <t>C-039</t>
        </is>
      </c>
      <c r="B43" s="38" t="inlineStr">
        <is>
          <t>N-002</t>
        </is>
      </c>
      <c r="C43" s="38" t="inlineStr">
        <is>
          <t>Componente 3</t>
        </is>
      </c>
      <c r="D43" s="38" t="inlineStr">
        <is>
          <t>7. Gestão de riscos e impactos ambientais e sociais › Quadro “Aplicação das Normas Ambientais e Sociais à Ação 3.2.2.3”, linha “NAS 1 – Avaliação e gestão de riscos”</t>
        </is>
      </c>
      <c r="E43" s="38" t="inlineStr">
        <is>
          <t>Ação 3.2.2.3</t>
        </is>
      </c>
      <c r="F43" s="38" t="inlineStr">
        <is>
          <t>NAS 1 – Avaliação e gestão de riscos</t>
        </is>
      </c>
      <c r="G43" s="38" t="inlineStr">
        <is>
          <t>Indicar as NAS aplicáveis e as medidas da ação</t>
        </is>
      </c>
      <c r="H43" s="38" t="inlineStr">
        <is>
          <t>Requisito ambiental e social</t>
        </is>
      </c>
      <c r="I43" s="38" t="inlineStr">
        <is>
          <t>A avaliar</t>
        </is>
      </c>
      <c r="J43" s="38" t="inlineStr">
        <is>
          <t>IAT – equipe da Atividade 3.2.2</t>
        </is>
      </c>
      <c r="K43" s="38" t="inlineStr">
        <is>
          <t>Pendente</t>
        </is>
      </c>
      <c r="L43" s="39" t="n">
        <v>46321</v>
      </c>
      <c r="M43" s="38" t="inlineStr">
        <is>
          <t>Citação em quadro. Mais 8 menção(ões) no mesmo item.</t>
        </is>
      </c>
    </row>
    <row r="44" ht="36" customHeight="1">
      <c r="A44" s="38" t="inlineStr">
        <is>
          <t>C-040</t>
        </is>
      </c>
      <c r="B44" s="38" t="inlineStr">
        <is>
          <t>N-013</t>
        </is>
      </c>
      <c r="C44" s="38" t="inlineStr">
        <is>
          <t>Componente 3</t>
        </is>
      </c>
      <c r="D44" s="38" t="inlineStr">
        <is>
          <t>10. Documentos complementares</t>
        </is>
      </c>
      <c r="E44" s="38" t="inlineStr">
        <is>
          <t>Ação 3.2.2.3</t>
        </is>
      </c>
      <c r="F44" s="38" t="inlineStr">
        <is>
          <t>Portaria GM/MS nº 888/2021, que altera o Anexo XX da Portaria de Consolidação GM/MS nº 5/2017 (padrã…</t>
        </is>
      </c>
      <c r="G44" s="38" t="inlineStr">
        <is>
          <t>Definir o padrão de potabilidade da água entregue</t>
        </is>
      </c>
      <c r="H44" s="38" t="inlineStr">
        <is>
          <t>Regra de execução</t>
        </is>
      </c>
      <c r="I44" s="38" t="inlineStr">
        <is>
          <t>A avaliar</t>
        </is>
      </c>
      <c r="J44" s="38" t="inlineStr">
        <is>
          <t>IAT – equipe da Atividade 3.2.2</t>
        </is>
      </c>
      <c r="K44" s="38" t="inlineStr">
        <is>
          <t>Pendente</t>
        </is>
      </c>
      <c r="L44" s="39" t="n">
        <v>46321</v>
      </c>
      <c r="M44" s="38" t="n"/>
    </row>
    <row r="45" ht="51" customHeight="1">
      <c r="A45" s="38" t="inlineStr">
        <is>
          <t>C-041</t>
        </is>
      </c>
      <c r="B45" s="38" t="inlineStr">
        <is>
          <t>N-014</t>
        </is>
      </c>
      <c r="C45" s="38" t="inlineStr">
        <is>
          <t>Componente 3</t>
        </is>
      </c>
      <c r="D45" s="38" t="inlineStr">
        <is>
          <t>10. Documentos complementares</t>
        </is>
      </c>
      <c r="E45" s="38" t="inlineStr">
        <is>
          <t>Ação 3.2.2.3</t>
        </is>
      </c>
      <c r="F45" s="38" t="inlineStr">
        <is>
          <t>Portaria GM/MS nº 888/2021, que altera o Anexo XX da Portaria de Consolidação GM/MS nº 5/2017 (padrão de potabilidade da água para consumo humano);</t>
        </is>
      </c>
      <c r="G45" s="38" t="inlineStr">
        <is>
          <t>Indicar o texto consolidado do padrão de potabilidade</t>
        </is>
      </c>
      <c r="H45" s="38" t="inlineStr">
        <is>
          <t>Regra de execução</t>
        </is>
      </c>
      <c r="I45" s="38" t="inlineStr">
        <is>
          <t>A avaliar</t>
        </is>
      </c>
      <c r="J45" s="38" t="inlineStr">
        <is>
          <t>IAT – equipe da Atividade 3.2.2</t>
        </is>
      </c>
      <c r="K45" s="38" t="inlineStr">
        <is>
          <t>Pendente</t>
        </is>
      </c>
      <c r="L45" s="39" t="n">
        <v>46321</v>
      </c>
      <c r="M45" s="38" t="n"/>
    </row>
    <row r="46" ht="36" customHeight="1">
      <c r="A46" s="38" t="inlineStr">
        <is>
          <t>C-042</t>
        </is>
      </c>
      <c r="B46" s="38" t="inlineStr">
        <is>
          <t>N-019</t>
        </is>
      </c>
      <c r="C46" s="38" t="inlineStr">
        <is>
          <t>Componente 3</t>
        </is>
      </c>
      <c r="D46" s="38" t="inlineStr">
        <is>
          <t>10. Documentos complementares</t>
        </is>
      </c>
      <c r="E46" s="38" t="inlineStr">
        <is>
          <t>Ação 3.2.2.3</t>
        </is>
      </c>
      <c r="F46" s="38" t="inlineStr">
        <is>
          <t>ABNT NBR 12212:2017 e NBR 12244:2006 (projeto e construção de poço tubular) e demais normas ABNT de proje…</t>
        </is>
      </c>
      <c r="G46" s="38" t="inlineStr">
        <is>
          <t>Definir os requisitos de projeto dos poços</t>
        </is>
      </c>
      <c r="H46" s="38" t="inlineStr">
        <is>
          <t>Referência técnica</t>
        </is>
      </c>
      <c r="I46" s="38" t="inlineStr">
        <is>
          <t>A avaliar</t>
        </is>
      </c>
      <c r="J46" s="38" t="inlineStr">
        <is>
          <t>IAT – equipe da Atividade 3.2.2</t>
        </is>
      </c>
      <c r="K46" s="38" t="inlineStr">
        <is>
          <t>Pendente</t>
        </is>
      </c>
      <c r="L46" s="39" t="n">
        <v>46321</v>
      </c>
      <c r="M46" s="38" t="n"/>
    </row>
    <row r="47" ht="51" customHeight="1">
      <c r="A47" s="38" t="inlineStr">
        <is>
          <t>C-043</t>
        </is>
      </c>
      <c r="B47" s="38" t="inlineStr">
        <is>
          <t>N-020</t>
        </is>
      </c>
      <c r="C47" s="38" t="inlineStr">
        <is>
          <t>Componente 3</t>
        </is>
      </c>
      <c r="D47" s="38" t="inlineStr">
        <is>
          <t>10. Documentos complementares</t>
        </is>
      </c>
      <c r="E47" s="38" t="inlineStr">
        <is>
          <t>Ação 3.2.2.3</t>
        </is>
      </c>
      <c r="F47" s="38" t="inlineStr">
        <is>
          <t>ABNT NBR 12212:2017 e NBR 12244:2006 (projeto e construção de poço tubular) e demais normas ABNT de projeto de sistemas de…</t>
        </is>
      </c>
      <c r="G47" s="38" t="inlineStr">
        <is>
          <t>Definir os requisitos de construção dos poços</t>
        </is>
      </c>
      <c r="H47" s="38" t="inlineStr">
        <is>
          <t>Referência técnica</t>
        </is>
      </c>
      <c r="I47" s="38" t="inlineStr">
        <is>
          <t>A avaliar</t>
        </is>
      </c>
      <c r="J47" s="38" t="inlineStr">
        <is>
          <t>IAT – equipe da Atividade 3.2.2</t>
        </is>
      </c>
      <c r="K47" s="38" t="inlineStr">
        <is>
          <t>Pendente</t>
        </is>
      </c>
      <c r="L47" s="39" t="n">
        <v>46321</v>
      </c>
      <c r="M47" s="38" t="n"/>
    </row>
    <row r="48" ht="36" customHeight="1">
      <c r="A48" s="38" t="inlineStr">
        <is>
          <t>C-044</t>
        </is>
      </c>
      <c r="B48" s="38" t="inlineStr">
        <is>
          <t>N-004</t>
        </is>
      </c>
      <c r="C48" s="38" t="inlineStr">
        <is>
          <t>Componente 3</t>
        </is>
      </c>
      <c r="D48" s="38" t="inlineStr">
        <is>
          <t>10. Documentos complementares</t>
        </is>
      </c>
      <c r="E48" s="38" t="inlineStr">
        <is>
          <t>Ação 3.2.2.3</t>
        </is>
      </c>
      <c r="F48" s="38" t="inlineStr">
        <is>
          <t>Lei nº 9.433/1997 e Lei Estadual nº 12.726/1999 (outorga de direito de uso de recursos hídricos) e n…</t>
        </is>
      </c>
      <c r="G48" s="38" t="inlineStr">
        <is>
          <t>Fundamentar a outorga de uso da água</t>
        </is>
      </c>
      <c r="H48" s="38" t="inlineStr">
        <is>
          <t>Fundamento legal</t>
        </is>
      </c>
      <c r="I48" s="38" t="inlineStr">
        <is>
          <t>A avaliar</t>
        </is>
      </c>
      <c r="J48" s="38" t="inlineStr">
        <is>
          <t>IAT – equipe da Atividade 3.2.2</t>
        </is>
      </c>
      <c r="K48" s="38" t="inlineStr">
        <is>
          <t>Pendente</t>
        </is>
      </c>
      <c r="L48" s="39" t="n">
        <v>46321</v>
      </c>
      <c r="M48" s="38" t="n"/>
    </row>
    <row r="49" ht="51" customHeight="1">
      <c r="A49" s="38" t="inlineStr">
        <is>
          <t>C-045</t>
        </is>
      </c>
      <c r="B49" s="38" t="inlineStr">
        <is>
          <t>N-021</t>
        </is>
      </c>
      <c r="C49" s="38" t="inlineStr">
        <is>
          <t>Componente 3</t>
        </is>
      </c>
      <c r="D49" s="38" t="inlineStr">
        <is>
          <t>10. Documentos complementares</t>
        </is>
      </c>
      <c r="E49" s="38" t="inlineStr">
        <is>
          <t>Ação 3.2.2.3</t>
        </is>
      </c>
      <c r="F49" s="38" t="inlineStr">
        <is>
          <t>Lei nº 9.433/1997 e Lei Estadual nº 12.726/1999 (outorga de direito de uso de recursos hídricos) e normas de licenciamen…</t>
        </is>
      </c>
      <c r="G49" s="38" t="inlineStr">
        <is>
          <t>Fundamentar a outorga estadual de uso da água</t>
        </is>
      </c>
      <c r="H49" s="38" t="inlineStr">
        <is>
          <t>Fundamento legal</t>
        </is>
      </c>
      <c r="I49" s="38" t="inlineStr">
        <is>
          <t>A avaliar</t>
        </is>
      </c>
      <c r="J49" s="38" t="inlineStr">
        <is>
          <t>IAT – equipe da Atividade 3.2.2</t>
        </is>
      </c>
      <c r="K49" s="38" t="inlineStr">
        <is>
          <t>Pendente</t>
        </is>
      </c>
      <c r="L49" s="39" t="n">
        <v>46321</v>
      </c>
      <c r="M49" s="38" t="n"/>
    </row>
    <row r="50" ht="51" customHeight="1">
      <c r="A50" s="38" t="inlineStr">
        <is>
          <t>C-046</t>
        </is>
      </c>
      <c r="B50" s="38" t="inlineStr">
        <is>
          <t>N-001</t>
        </is>
      </c>
      <c r="C50" s="38" t="inlineStr">
        <is>
          <t>Componente 3</t>
        </is>
      </c>
      <c r="D50" s="38" t="inlineStr">
        <is>
          <t>2. Área de atuação</t>
        </is>
      </c>
      <c r="E50" s="38" t="inlineStr">
        <is>
          <t>Ação 3.2.2.4</t>
        </is>
      </c>
      <c r="F50" s="38" t="inlineStr">
        <is>
          <t>O Acordo de Empréstimo, item (j)(vii), pede a identificação das áreas rurais da Parte 3.2. Solicitar à…</t>
        </is>
      </c>
      <c r="G50" s="38" t="inlineStr">
        <is>
          <t>Vincular a atividade ao Acordo e à exigência de identificar os locais</t>
        </is>
      </c>
      <c r="H50" s="38" t="inlineStr">
        <is>
          <t>Fundamento legal</t>
        </is>
      </c>
      <c r="I50" s="38" t="inlineStr">
        <is>
          <t>Sim</t>
        </is>
      </c>
      <c r="J50" s="38" t="inlineStr">
        <is>
          <t>IAT – equipe da Atividade 3.2.2</t>
        </is>
      </c>
      <c r="K50" s="38" t="inlineStr">
        <is>
          <t>Pendente</t>
        </is>
      </c>
      <c r="L50" s="39" t="n">
        <v>46321</v>
      </c>
      <c r="M50" s="38" t="inlineStr">
        <is>
          <t>Citação em comentário de revisão do Word, não no corpo do texto. Incluir no MOP a lista ou o mapa dos locais de intervenção.</t>
        </is>
      </c>
    </row>
    <row r="51" ht="51" customHeight="1">
      <c r="A51" s="38" t="inlineStr">
        <is>
          <t>C-047</t>
        </is>
      </c>
      <c r="B51" s="38" t="inlineStr">
        <is>
          <t>N-022</t>
        </is>
      </c>
      <c r="C51" s="38" t="inlineStr">
        <is>
          <t>Componente 3</t>
        </is>
      </c>
      <c r="D51" s="38" t="inlineStr">
        <is>
          <t>4. Processo de execução operacional › 4.7 Modalidade de execução</t>
        </is>
      </c>
      <c r="E51" s="38" t="inlineStr">
        <is>
          <t>Ação 3.2.2.4</t>
        </is>
      </c>
      <c r="F51" s="38" t="inlineStr">
        <is>
          <t>As aquisições da Sanepar seguem o seu Regulamento de Licitações e Contratos, e as obras contratadas pelos municípios, a legislação de lici…</t>
        </is>
      </c>
      <c r="G51" s="38" t="inlineStr">
        <is>
          <t>Indicar as regras de aquisição da Sanepar</t>
        </is>
      </c>
      <c r="H51" s="38" t="inlineStr">
        <is>
          <t>Aquisições / contratos</t>
        </is>
      </c>
      <c r="I51" s="38" t="inlineStr">
        <is>
          <t>A avaliar</t>
        </is>
      </c>
      <c r="J51" s="38" t="inlineStr">
        <is>
          <t>IAT – equipe da Atividade 3.2.2</t>
        </is>
      </c>
      <c r="K51" s="38" t="inlineStr">
        <is>
          <t>Pendente</t>
        </is>
      </c>
      <c r="L51" s="39" t="n">
        <v>46321</v>
      </c>
      <c r="M51" s="38" t="n"/>
    </row>
    <row r="52" ht="81" customHeight="1">
      <c r="A52" s="38" t="inlineStr">
        <is>
          <t>C-048</t>
        </is>
      </c>
      <c r="B52" s="38" t="inlineStr">
        <is>
          <t>N-013</t>
        </is>
      </c>
      <c r="C52" s="38" t="inlineStr">
        <is>
          <t>Componente 3</t>
        </is>
      </c>
      <c r="D52" s="38" t="inlineStr">
        <is>
          <t>6. Metas, indicadores e comprovação › Quadro “Critérios de aceite e evidências da Ação 3.2.2.4”, linha “Sistema implantado”</t>
        </is>
      </c>
      <c r="E52" s="38" t="inlineStr">
        <is>
          <t>Ação 3.2.2.4</t>
        </is>
      </c>
      <c r="F52" s="38" t="inlineStr">
        <is>
          <t>Obra concluída e em operação, com água dentro do padrão de potabilidade</t>
        </is>
      </c>
      <c r="G52" s="38" t="inlineStr">
        <is>
          <t>Definir o padrão de potabilidade da água entregue</t>
        </is>
      </c>
      <c r="H52" s="38" t="inlineStr">
        <is>
          <t>Regra de execução</t>
        </is>
      </c>
      <c r="I52" s="38" t="inlineStr">
        <is>
          <t>A avaliar</t>
        </is>
      </c>
      <c r="J52" s="38" t="inlineStr">
        <is>
          <t>IAT – equipe da Atividade 3.2.2</t>
        </is>
      </c>
      <c r="K52" s="38" t="inlineStr">
        <is>
          <t>Pendente</t>
        </is>
      </c>
      <c r="L52" s="39" t="n">
        <v>46321</v>
      </c>
      <c r="M52" s="38" t="inlineStr">
        <is>
          <t>Citação em quadro.</t>
        </is>
      </c>
    </row>
    <row r="53" ht="96" customHeight="1">
      <c r="A53" s="38" t="inlineStr">
        <is>
          <t>C-049</t>
        </is>
      </c>
      <c r="B53" s="38" t="inlineStr">
        <is>
          <t>N-002</t>
        </is>
      </c>
      <c r="C53" s="38" t="inlineStr">
        <is>
          <t>Componente 3</t>
        </is>
      </c>
      <c r="D53" s="38" t="inlineStr">
        <is>
          <t>7. Gestão de riscos e impactos ambientais e sociais › Quadro “Aplicação das Normas Ambientais e Sociais à Ação 3.2.2.4”, linha “NAS 1 – Avaliação e gestão de riscos”</t>
        </is>
      </c>
      <c r="E53" s="38" t="inlineStr">
        <is>
          <t>Ação 3.2.2.4</t>
        </is>
      </c>
      <c r="F53" s="38" t="inlineStr">
        <is>
          <t>NAS 1 – Avaliação e gestão de riscos</t>
        </is>
      </c>
      <c r="G53" s="38" t="inlineStr">
        <is>
          <t>Indicar as NAS aplicáveis e as medidas da ação</t>
        </is>
      </c>
      <c r="H53" s="38" t="inlineStr">
        <is>
          <t>Requisito ambiental e social</t>
        </is>
      </c>
      <c r="I53" s="38" t="inlineStr">
        <is>
          <t>A avaliar</t>
        </is>
      </c>
      <c r="J53" s="38" t="inlineStr">
        <is>
          <t>IAT – equipe da Atividade 3.2.2</t>
        </is>
      </c>
      <c r="K53" s="38" t="inlineStr">
        <is>
          <t>Pendente</t>
        </is>
      </c>
      <c r="L53" s="39" t="n">
        <v>46321</v>
      </c>
      <c r="M53" s="38" t="inlineStr">
        <is>
          <t>Citação em quadro. Mais 6 menção(ões) no mesmo item.</t>
        </is>
      </c>
    </row>
    <row r="54" ht="36" customHeight="1">
      <c r="A54" s="38" t="inlineStr">
        <is>
          <t>C-050</t>
        </is>
      </c>
      <c r="B54" s="38" t="inlineStr">
        <is>
          <t>N-022</t>
        </is>
      </c>
      <c r="C54" s="38" t="inlineStr">
        <is>
          <t>Componente 3</t>
        </is>
      </c>
      <c r="D54" s="38" t="inlineStr">
        <is>
          <t>10. Documentos complementares</t>
        </is>
      </c>
      <c r="E54" s="38" t="inlineStr">
        <is>
          <t>Ação 3.2.2.4</t>
        </is>
      </c>
      <c r="F54" s="38" t="inlineStr">
        <is>
          <t>Regulamento de Licitações e Contratos da Sanepar;</t>
        </is>
      </c>
      <c r="G54" s="38" t="inlineStr">
        <is>
          <t>Indicar as regras de aquisição da Sanepar</t>
        </is>
      </c>
      <c r="H54" s="38" t="inlineStr">
        <is>
          <t>Aquisições / contratos</t>
        </is>
      </c>
      <c r="I54" s="38" t="inlineStr">
        <is>
          <t>A avaliar</t>
        </is>
      </c>
      <c r="J54" s="38" t="inlineStr">
        <is>
          <t>IAT – equipe da Atividade 3.2.2</t>
        </is>
      </c>
      <c r="K54" s="38" t="inlineStr">
        <is>
          <t>Pendente</t>
        </is>
      </c>
      <c r="L54" s="39" t="n">
        <v>46321</v>
      </c>
      <c r="M54" s="38" t="n"/>
    </row>
    <row r="55" ht="36" customHeight="1">
      <c r="A55" s="38" t="inlineStr">
        <is>
          <t>C-051</t>
        </is>
      </c>
      <c r="B55" s="38" t="inlineStr">
        <is>
          <t>N-013</t>
        </is>
      </c>
      <c r="C55" s="38" t="inlineStr">
        <is>
          <t>Componente 3</t>
        </is>
      </c>
      <c r="D55" s="38" t="inlineStr">
        <is>
          <t>10. Documentos complementares</t>
        </is>
      </c>
      <c r="E55" s="38" t="inlineStr">
        <is>
          <t>Ação 3.2.2.4</t>
        </is>
      </c>
      <c r="F55" s="38" t="inlineStr">
        <is>
          <t>Portaria GM/MS nº 888/2021 (padrão de potabilidade);</t>
        </is>
      </c>
      <c r="G55" s="38" t="inlineStr">
        <is>
          <t>Definir o padrão de potabilidade da água entregue</t>
        </is>
      </c>
      <c r="H55" s="38" t="inlineStr">
        <is>
          <t>Regra de execução</t>
        </is>
      </c>
      <c r="I55" s="38" t="inlineStr">
        <is>
          <t>A avaliar</t>
        </is>
      </c>
      <c r="J55" s="38" t="inlineStr">
        <is>
          <t>IAT – equipe da Atividade 3.2.2</t>
        </is>
      </c>
      <c r="K55" s="38" t="inlineStr">
        <is>
          <t>Pendente</t>
        </is>
      </c>
      <c r="L55" s="39" t="n">
        <v>46321</v>
      </c>
      <c r="M55" s="38" t="n"/>
    </row>
    <row r="56" ht="51" customHeight="1">
      <c r="A56" s="38" t="inlineStr">
        <is>
          <t>C-052</t>
        </is>
      </c>
      <c r="B56" s="38" t="inlineStr">
        <is>
          <t>N-016</t>
        </is>
      </c>
      <c r="C56" s="38" t="inlineStr">
        <is>
          <t>Componente 3</t>
        </is>
      </c>
      <c r="D56" s="38" t="inlineStr">
        <is>
          <t>1. Contextualização</t>
        </is>
      </c>
      <c r="E56" s="38" t="inlineStr">
        <is>
          <t>Ação 3.2.2.5</t>
        </is>
      </c>
      <c r="F56" s="38" t="inlineStr">
        <is>
          <t>As soluções seguem a ABNT NBR 17076:2024, que substituiu as normas NBR 7229 e NBR 13969 e define alternativas de tratamento lo…</t>
        </is>
      </c>
      <c r="G56" s="38" t="inlineStr">
        <is>
          <t>Definir os requisitos de projeto e instalação das soluções individuais</t>
        </is>
      </c>
      <c r="H56" s="38" t="inlineStr">
        <is>
          <t>Referência técnica</t>
        </is>
      </c>
      <c r="I56" s="38" t="inlineStr">
        <is>
          <t>A avaliar</t>
        </is>
      </c>
      <c r="J56" s="38" t="inlineStr">
        <is>
          <t>IAT – equipe da Atividade 3.2.2</t>
        </is>
      </c>
      <c r="K56" s="38" t="inlineStr">
        <is>
          <t>Pendente</t>
        </is>
      </c>
      <c r="L56" s="39" t="n">
        <v>46321</v>
      </c>
      <c r="M56" s="38" t="inlineStr">
        <is>
          <t>Mais 1 menção(ões) no mesmo item.</t>
        </is>
      </c>
    </row>
    <row r="57" ht="66" customHeight="1">
      <c r="A57" s="38" t="inlineStr">
        <is>
          <t>C-053</t>
        </is>
      </c>
      <c r="B57" s="38" t="inlineStr">
        <is>
          <t>N-017</t>
        </is>
      </c>
      <c r="C57" s="38" t="inlineStr">
        <is>
          <t>Componente 3</t>
        </is>
      </c>
      <c r="D57" s="38" t="inlineStr">
        <is>
          <t>1. Contextualização</t>
        </is>
      </c>
      <c r="E57" s="38" t="inlineStr">
        <is>
          <t>Ação 3.2.2.5</t>
        </is>
      </c>
      <c r="F57" s="38" t="inlineStr">
        <is>
          <t>As soluções seguem a ABNT NBR 17076:2024, que substituiu as normas NBR 7229 e NBR 13969 e define alternativas de tratamento local para vazões de até 12.000 L/dia e car…</t>
        </is>
      </c>
      <c r="G57" s="38" t="inlineStr">
        <is>
          <t>Registrar a norma substituída pela NBR 17076:2024</t>
        </is>
      </c>
      <c r="H57" s="38" t="inlineStr">
        <is>
          <t>Referência técnica</t>
        </is>
      </c>
      <c r="I57" s="38" t="inlineStr">
        <is>
          <t>Não</t>
        </is>
      </c>
      <c r="J57" s="38" t="inlineStr">
        <is>
          <t>IAT – equipe da Atividade 3.2.2</t>
        </is>
      </c>
      <c r="K57" s="38" t="inlineStr">
        <is>
          <t>Pendente</t>
        </is>
      </c>
      <c r="L57" s="39" t="n">
        <v>46321</v>
      </c>
      <c r="M57" s="38" t="n"/>
    </row>
    <row r="58" ht="66" customHeight="1">
      <c r="A58" s="38" t="inlineStr">
        <is>
          <t>C-054</t>
        </is>
      </c>
      <c r="B58" s="38" t="inlineStr">
        <is>
          <t>N-018</t>
        </is>
      </c>
      <c r="C58" s="38" t="inlineStr">
        <is>
          <t>Componente 3</t>
        </is>
      </c>
      <c r="D58" s="38" t="inlineStr">
        <is>
          <t>1. Contextualização</t>
        </is>
      </c>
      <c r="E58" s="38" t="inlineStr">
        <is>
          <t>Ação 3.2.2.5</t>
        </is>
      </c>
      <c r="F58" s="38" t="inlineStr">
        <is>
          <t>…ões seguem a ABNT NBR 17076:2024, que substituiu as normas NBR 7229 e NBR 13969 e define alternativas de tratamento local para vazões de até 12.000 L/dia e carga orgânica…</t>
        </is>
      </c>
      <c r="G58" s="38" t="inlineStr">
        <is>
          <t>Registrar a norma substituída pela NBR 17076:2024</t>
        </is>
      </c>
      <c r="H58" s="38" t="inlineStr">
        <is>
          <t>Referência técnica</t>
        </is>
      </c>
      <c r="I58" s="38" t="inlineStr">
        <is>
          <t>Não</t>
        </is>
      </c>
      <c r="J58" s="38" t="inlineStr">
        <is>
          <t>IAT – equipe da Atividade 3.2.2</t>
        </is>
      </c>
      <c r="K58" s="38" t="inlineStr">
        <is>
          <t>Pendente</t>
        </is>
      </c>
      <c r="L58" s="39" t="n">
        <v>46321</v>
      </c>
      <c r="M58" s="38" t="n"/>
    </row>
    <row r="59" ht="66" customHeight="1">
      <c r="A59" s="38" t="inlineStr">
        <is>
          <t>C-055</t>
        </is>
      </c>
      <c r="B59" s="38" t="inlineStr">
        <is>
          <t>N-016</t>
        </is>
      </c>
      <c r="C59" s="38" t="inlineStr">
        <is>
          <t>Componente 3</t>
        </is>
      </c>
      <c r="D59" s="38" t="inlineStr">
        <is>
          <t>4. Processo de execução operacional › 4.2 Etapa 2: Contratação das soluções e das obras</t>
        </is>
      </c>
      <c r="E59" s="38" t="inlineStr">
        <is>
          <t>Ação 3.2.2.5</t>
        </is>
      </c>
      <c r="F59" s="38" t="inlineStr">
        <is>
          <t>Entradas: lista de domicílios; especificações conforme a ABNT NBR 17076:2024.</t>
        </is>
      </c>
      <c r="G59" s="38" t="inlineStr">
        <is>
          <t>Definir os requisitos de projeto e instalação das soluções individuais</t>
        </is>
      </c>
      <c r="H59" s="38" t="inlineStr">
        <is>
          <t>Referência técnica</t>
        </is>
      </c>
      <c r="I59" s="38" t="inlineStr">
        <is>
          <t>A avaliar</t>
        </is>
      </c>
      <c r="J59" s="38" t="inlineStr">
        <is>
          <t>IAT – equipe da Atividade 3.2.2</t>
        </is>
      </c>
      <c r="K59" s="38" t="inlineStr">
        <is>
          <t>Pendente</t>
        </is>
      </c>
      <c r="L59" s="39" t="n">
        <v>46321</v>
      </c>
      <c r="M59" s="38" t="n"/>
    </row>
    <row r="60" ht="81" customHeight="1">
      <c r="A60" s="38" t="inlineStr">
        <is>
          <t>C-056</t>
        </is>
      </c>
      <c r="B60" s="38" t="inlineStr">
        <is>
          <t>N-016</t>
        </is>
      </c>
      <c r="C60" s="38" t="inlineStr">
        <is>
          <t>Componente 3</t>
        </is>
      </c>
      <c r="D60" s="38" t="inlineStr">
        <is>
          <t>6. Metas, indicadores e comprovação › Quadro “Critérios de aceite e evidências da Ação 3.2.2.5”, linha “Projeto individual”</t>
        </is>
      </c>
      <c r="E60" s="38" t="inlineStr">
        <is>
          <t>Ação 3.2.2.5</t>
        </is>
      </c>
      <c r="F60" s="38" t="inlineStr">
        <is>
          <t>Solução adequada ao terreno e ao número de moradores, conforme a ABNT NBR 17076:2024</t>
        </is>
      </c>
      <c r="G60" s="38" t="inlineStr">
        <is>
          <t>Definir os requisitos de projeto e instalação das soluções individuais</t>
        </is>
      </c>
      <c r="H60" s="38" t="inlineStr">
        <is>
          <t>Referência técnica</t>
        </is>
      </c>
      <c r="I60" s="38" t="inlineStr">
        <is>
          <t>A avaliar</t>
        </is>
      </c>
      <c r="J60" s="38" t="inlineStr">
        <is>
          <t>IAT – equipe da Atividade 3.2.2</t>
        </is>
      </c>
      <c r="K60" s="38" t="inlineStr">
        <is>
          <t>Pendente</t>
        </is>
      </c>
      <c r="L60" s="39" t="n">
        <v>46321</v>
      </c>
      <c r="M60" s="38" t="inlineStr">
        <is>
          <t>Citação em quadro.</t>
        </is>
      </c>
    </row>
    <row r="61" ht="96" customHeight="1">
      <c r="A61" s="38" t="inlineStr">
        <is>
          <t>C-057</t>
        </is>
      </c>
      <c r="B61" s="38" t="inlineStr">
        <is>
          <t>N-002</t>
        </is>
      </c>
      <c r="C61" s="38" t="inlineStr">
        <is>
          <t>Componente 3</t>
        </is>
      </c>
      <c r="D61" s="38" t="inlineStr">
        <is>
          <t>7. Gestão de riscos e impactos ambientais e sociais › Quadro “Aplicação das Normas Ambientais e Sociais à Ação 3.2.2.5”, linha “NAS 1 – Avaliação e gestão de riscos”</t>
        </is>
      </c>
      <c r="E61" s="38" t="inlineStr">
        <is>
          <t>Ação 3.2.2.5</t>
        </is>
      </c>
      <c r="F61" s="38" t="inlineStr">
        <is>
          <t>NAS 1 – Avaliação e gestão de riscos</t>
        </is>
      </c>
      <c r="G61" s="38" t="inlineStr">
        <is>
          <t>Indicar as NAS aplicáveis e as medidas da ação</t>
        </is>
      </c>
      <c r="H61" s="38" t="inlineStr">
        <is>
          <t>Requisito ambiental e social</t>
        </is>
      </c>
      <c r="I61" s="38" t="inlineStr">
        <is>
          <t>A avaliar</t>
        </is>
      </c>
      <c r="J61" s="38" t="inlineStr">
        <is>
          <t>IAT – equipe da Atividade 3.2.2</t>
        </is>
      </c>
      <c r="K61" s="38" t="inlineStr">
        <is>
          <t>Pendente</t>
        </is>
      </c>
      <c r="L61" s="39" t="n">
        <v>46321</v>
      </c>
      <c r="M61" s="38" t="inlineStr">
        <is>
          <t>Citação em quadro. Mais 5 menção(ões) no mesmo item.</t>
        </is>
      </c>
    </row>
    <row r="62" ht="96" customHeight="1">
      <c r="A62" s="38" t="inlineStr">
        <is>
          <t>C-058</t>
        </is>
      </c>
      <c r="B62" s="38" t="inlineStr">
        <is>
          <t>N-016</t>
        </is>
      </c>
      <c r="C62" s="38" t="inlineStr">
        <is>
          <t>Componente 3</t>
        </is>
      </c>
      <c r="D62" s="38" t="inlineStr">
        <is>
          <t>7. Gestão de riscos e impactos ambientais e sociais › Quadro “Aplicação das Normas Ambientais e Sociais à Ação 3.2.2.5”, linha “NAS 1 – Avaliação e gestão de riscos”</t>
        </is>
      </c>
      <c r="E62" s="38" t="inlineStr">
        <is>
          <t>Ação 3.2.2.5</t>
        </is>
      </c>
      <c r="F62" s="38" t="inlineStr">
        <is>
          <t>Dimensionamento técnico conforme a ABNT NBR 17076:2024; verificação técnica obrigatória (MGAS)</t>
        </is>
      </c>
      <c r="G62" s="38" t="inlineStr">
        <is>
          <t>Definir os requisitos de projeto e instalação das soluções individuais</t>
        </is>
      </c>
      <c r="H62" s="38" t="inlineStr">
        <is>
          <t>Referência técnica</t>
        </is>
      </c>
      <c r="I62" s="38" t="inlineStr">
        <is>
          <t>A avaliar</t>
        </is>
      </c>
      <c r="J62" s="38" t="inlineStr">
        <is>
          <t>IAT – equipe da Atividade 3.2.2</t>
        </is>
      </c>
      <c r="K62" s="38" t="inlineStr">
        <is>
          <t>Pendente</t>
        </is>
      </c>
      <c r="L62" s="39" t="n">
        <v>46321</v>
      </c>
      <c r="M62" s="38" t="inlineStr">
        <is>
          <t>Citação em quadro.</t>
        </is>
      </c>
    </row>
    <row r="63" ht="36" customHeight="1">
      <c r="A63" s="38" t="inlineStr">
        <is>
          <t>C-059</t>
        </is>
      </c>
      <c r="B63" s="38" t="inlineStr">
        <is>
          <t>N-016</t>
        </is>
      </c>
      <c r="C63" s="38" t="inlineStr">
        <is>
          <t>Componente 3</t>
        </is>
      </c>
      <c r="D63" s="38" t="inlineStr">
        <is>
          <t>10. Documentos complementares</t>
        </is>
      </c>
      <c r="E63" s="38" t="inlineStr">
        <is>
          <t>Ação 3.2.2.5</t>
        </is>
      </c>
      <c r="F63" s="38" t="inlineStr">
        <is>
          <t>ABNT NBR 17076:2024 (ABNT, 2024);</t>
        </is>
      </c>
      <c r="G63" s="38" t="inlineStr">
        <is>
          <t>Definir os requisitos de projeto e instalação das soluções individuais</t>
        </is>
      </c>
      <c r="H63" s="38" t="inlineStr">
        <is>
          <t>Referência técnica</t>
        </is>
      </c>
      <c r="I63" s="38" t="inlineStr">
        <is>
          <t>A avaliar</t>
        </is>
      </c>
      <c r="J63" s="38" t="inlineStr">
        <is>
          <t>IAT – equipe da Atividade 3.2.2</t>
        </is>
      </c>
      <c r="K63" s="38" t="inlineStr">
        <is>
          <t>Pendente</t>
        </is>
      </c>
      <c r="L63" s="39" t="n">
        <v>46321</v>
      </c>
      <c r="M63" s="38" t="n"/>
    </row>
    <row r="64" ht="66" customHeight="1">
      <c r="A64" s="38" t="inlineStr">
        <is>
          <t>C-060</t>
        </is>
      </c>
      <c r="B64" s="38" t="inlineStr">
        <is>
          <t>N-016</t>
        </is>
      </c>
      <c r="C64" s="38" t="inlineStr">
        <is>
          <t>Componente 3</t>
        </is>
      </c>
      <c r="D64" s="38" t="inlineStr">
        <is>
          <t>1. Contextualização</t>
        </is>
      </c>
      <c r="E64" s="38" t="inlineStr">
        <is>
          <t>Ação 3.2.2.6</t>
        </is>
      </c>
      <c r="F64" s="38" t="inlineStr">
        <is>
          <t>…o projeto sanitário de cada propriedade; a instalação conforme a ABNT NBR 17076:2024; a verificação técnica; a orientação do proprietário; e a medição, a comprovação e o…</t>
        </is>
      </c>
      <c r="G64" s="38" t="inlineStr">
        <is>
          <t>Definir os requisitos de projeto e instalação das soluções individuais</t>
        </is>
      </c>
      <c r="H64" s="38" t="inlineStr">
        <is>
          <t>Referência técnica</t>
        </is>
      </c>
      <c r="I64" s="38" t="inlineStr">
        <is>
          <t>A avaliar</t>
        </is>
      </c>
      <c r="J64" s="38" t="inlineStr">
        <is>
          <t>IAT – equipe da Atividade 3.2.2</t>
        </is>
      </c>
      <c r="K64" s="38" t="inlineStr">
        <is>
          <t>Pendente</t>
        </is>
      </c>
      <c r="L64" s="39" t="n">
        <v>46321</v>
      </c>
      <c r="M64" s="38" t="n"/>
    </row>
    <row r="65" ht="51" customHeight="1">
      <c r="A65" s="38" t="inlineStr">
        <is>
          <t>C-061</t>
        </is>
      </c>
      <c r="B65" s="38" t="inlineStr">
        <is>
          <t>N-001</t>
        </is>
      </c>
      <c r="C65" s="38" t="inlineStr">
        <is>
          <t>Componente 3</t>
        </is>
      </c>
      <c r="D65" s="38" t="inlineStr">
        <is>
          <t>2. Área de atuação</t>
        </is>
      </c>
      <c r="E65" s="38" t="inlineStr">
        <is>
          <t>Ação 3.2.2.6</t>
        </is>
      </c>
      <c r="F65" s="38" t="inlineStr">
        <is>
          <t>O Acordo de Empréstimo, item (j)(vii), pede a identificação das áreas rurais da Parte 3.2. Incluir o m…</t>
        </is>
      </c>
      <c r="G65" s="38" t="inlineStr">
        <is>
          <t>Vincular a atividade ao Acordo e à exigência de identificar os locais</t>
        </is>
      </c>
      <c r="H65" s="38" t="inlineStr">
        <is>
          <t>Fundamento legal</t>
        </is>
      </c>
      <c r="I65" s="38" t="inlineStr">
        <is>
          <t>Sim</t>
        </is>
      </c>
      <c r="J65" s="38" t="inlineStr">
        <is>
          <t>IAT – equipe da Atividade 3.2.2</t>
        </is>
      </c>
      <c r="K65" s="38" t="inlineStr">
        <is>
          <t>Pendente</t>
        </is>
      </c>
      <c r="L65" s="39" t="n">
        <v>46321</v>
      </c>
      <c r="M65" s="38" t="inlineStr">
        <is>
          <t>Citação em comentário de revisão do Word, não no corpo do texto. Incluir no MOP a lista ou o mapa dos locais de intervenção.</t>
        </is>
      </c>
    </row>
    <row r="66" ht="66" customHeight="1">
      <c r="A66" s="38" t="inlineStr">
        <is>
          <t>C-062</t>
        </is>
      </c>
      <c r="B66" s="38" t="inlineStr">
        <is>
          <t>N-016</t>
        </is>
      </c>
      <c r="C66" s="38" t="inlineStr">
        <is>
          <t>Componente 3</t>
        </is>
      </c>
      <c r="D66" s="38" t="inlineStr">
        <is>
          <t>4. Processo de execução operacional › 4.2 Etapa 2: Contratação das soluções e das obras</t>
        </is>
      </c>
      <c r="E66" s="38" t="inlineStr">
        <is>
          <t>Ação 3.2.2.6</t>
        </is>
      </c>
      <c r="F66" s="38" t="inlineStr">
        <is>
          <t>Entradas: lista de domicílios; especificações conforme a ABNT NBR 17076:2024.</t>
        </is>
      </c>
      <c r="G66" s="38" t="inlineStr">
        <is>
          <t>Definir os requisitos de projeto e instalação das soluções individuais</t>
        </is>
      </c>
      <c r="H66" s="38" t="inlineStr">
        <is>
          <t>Referência técnica</t>
        </is>
      </c>
      <c r="I66" s="38" t="inlineStr">
        <is>
          <t>A avaliar</t>
        </is>
      </c>
      <c r="J66" s="38" t="inlineStr">
        <is>
          <t>IAT – equipe da Atividade 3.2.2</t>
        </is>
      </c>
      <c r="K66" s="38" t="inlineStr">
        <is>
          <t>Pendente</t>
        </is>
      </c>
      <c r="L66" s="39" t="n">
        <v>46321</v>
      </c>
      <c r="M66" s="38" t="n"/>
    </row>
    <row r="67" ht="81" customHeight="1">
      <c r="A67" s="38" t="inlineStr">
        <is>
          <t>C-063</t>
        </is>
      </c>
      <c r="B67" s="38" t="inlineStr">
        <is>
          <t>N-016</t>
        </is>
      </c>
      <c r="C67" s="38" t="inlineStr">
        <is>
          <t>Componente 3</t>
        </is>
      </c>
      <c r="D67" s="38" t="inlineStr">
        <is>
          <t>6. Metas, indicadores e comprovação › Quadro “Critérios de aceite e evidências da Ação 3.2.2.6”, linha “Projeto sanitário”</t>
        </is>
      </c>
      <c r="E67" s="38" t="inlineStr">
        <is>
          <t>Ação 3.2.2.6</t>
        </is>
      </c>
      <c r="F67" s="38" t="inlineStr">
        <is>
          <t>Solução adequada à propriedade, conforme a ABNT NBR 17076:2024</t>
        </is>
      </c>
      <c r="G67" s="38" t="inlineStr">
        <is>
          <t>Definir os requisitos de projeto e instalação das soluções individuais</t>
        </is>
      </c>
      <c r="H67" s="38" t="inlineStr">
        <is>
          <t>Referência técnica</t>
        </is>
      </c>
      <c r="I67" s="38" t="inlineStr">
        <is>
          <t>A avaliar</t>
        </is>
      </c>
      <c r="J67" s="38" t="inlineStr">
        <is>
          <t>IAT – equipe da Atividade 3.2.2</t>
        </is>
      </c>
      <c r="K67" s="38" t="inlineStr">
        <is>
          <t>Pendente</t>
        </is>
      </c>
      <c r="L67" s="39" t="n">
        <v>46321</v>
      </c>
      <c r="M67" s="38" t="inlineStr">
        <is>
          <t>Citação em quadro.</t>
        </is>
      </c>
    </row>
    <row r="68" ht="96" customHeight="1">
      <c r="A68" s="38" t="inlineStr">
        <is>
          <t>C-064</t>
        </is>
      </c>
      <c r="B68" s="38" t="inlineStr">
        <is>
          <t>N-002</t>
        </is>
      </c>
      <c r="C68" s="38" t="inlineStr">
        <is>
          <t>Componente 3</t>
        </is>
      </c>
      <c r="D68" s="38" t="inlineStr">
        <is>
          <t>7. Gestão de riscos e impactos ambientais e sociais › Quadro “Aplicação das Normas Ambientais e Sociais à Ação 3.2.2.6”, linha “NAS 1 – Avaliação e gestão de riscos”</t>
        </is>
      </c>
      <c r="E68" s="38" t="inlineStr">
        <is>
          <t>Ação 3.2.2.6</t>
        </is>
      </c>
      <c r="F68" s="38" t="inlineStr">
        <is>
          <t>NAS 1 – Avaliação e gestão de riscos</t>
        </is>
      </c>
      <c r="G68" s="38" t="inlineStr">
        <is>
          <t>Indicar as NAS aplicáveis e as medidas da ação</t>
        </is>
      </c>
      <c r="H68" s="38" t="inlineStr">
        <is>
          <t>Requisito ambiental e social</t>
        </is>
      </c>
      <c r="I68" s="38" t="inlineStr">
        <is>
          <t>A avaliar</t>
        </is>
      </c>
      <c r="J68" s="38" t="inlineStr">
        <is>
          <t>IAT – equipe da Atividade 3.2.2</t>
        </is>
      </c>
      <c r="K68" s="38" t="inlineStr">
        <is>
          <t>Pendente</t>
        </is>
      </c>
      <c r="L68" s="39" t="n">
        <v>46321</v>
      </c>
      <c r="M68" s="38" t="inlineStr">
        <is>
          <t>Citação em quadro. Mais 5 menção(ões) no mesmo item.</t>
        </is>
      </c>
    </row>
    <row r="69" ht="96" customHeight="1">
      <c r="A69" s="38" t="inlineStr">
        <is>
          <t>C-065</t>
        </is>
      </c>
      <c r="B69" s="38" t="inlineStr">
        <is>
          <t>N-016</t>
        </is>
      </c>
      <c r="C69" s="38" t="inlineStr">
        <is>
          <t>Componente 3</t>
        </is>
      </c>
      <c r="D69" s="38" t="inlineStr">
        <is>
          <t>7. Gestão de riscos e impactos ambientais e sociais › Quadro “Aplicação das Normas Ambientais e Sociais à Ação 3.2.2.6”, linha “NAS 1 – Avaliação e gestão de riscos”</t>
        </is>
      </c>
      <c r="E69" s="38" t="inlineStr">
        <is>
          <t>Ação 3.2.2.6</t>
        </is>
      </c>
      <c r="F69" s="38" t="inlineStr">
        <is>
          <t>Dimensionamento conforme a ABNT NBR 17076:2024; distância segura de nascentes e cursos d'água; verificação técnica (MGAS)</t>
        </is>
      </c>
      <c r="G69" s="38" t="inlineStr">
        <is>
          <t>Definir os requisitos de projeto e instalação das soluções individuais</t>
        </is>
      </c>
      <c r="H69" s="38" t="inlineStr">
        <is>
          <t>Referência técnica</t>
        </is>
      </c>
      <c r="I69" s="38" t="inlineStr">
        <is>
          <t>A avaliar</t>
        </is>
      </c>
      <c r="J69" s="38" t="inlineStr">
        <is>
          <t>IAT – equipe da Atividade 3.2.2</t>
        </is>
      </c>
      <c r="K69" s="38" t="inlineStr">
        <is>
          <t>Pendente</t>
        </is>
      </c>
      <c r="L69" s="39" t="n">
        <v>46321</v>
      </c>
      <c r="M69" s="38" t="inlineStr">
        <is>
          <t>Citação em quadro.</t>
        </is>
      </c>
    </row>
    <row r="70" ht="36" customHeight="1">
      <c r="A70" s="38" t="inlineStr">
        <is>
          <t>C-066</t>
        </is>
      </c>
      <c r="B70" s="38" t="inlineStr">
        <is>
          <t>N-016</t>
        </is>
      </c>
      <c r="C70" s="38" t="inlineStr">
        <is>
          <t>Componente 3</t>
        </is>
      </c>
      <c r="D70" s="38" t="inlineStr">
        <is>
          <t>10. Documentos complementares</t>
        </is>
      </c>
      <c r="E70" s="38" t="inlineStr">
        <is>
          <t>Ação 3.2.2.6</t>
        </is>
      </c>
      <c r="F70" s="38" t="inlineStr">
        <is>
          <t>ABNT NBR 17076:2024 (ABNT, 2024);</t>
        </is>
      </c>
      <c r="G70" s="38" t="inlineStr">
        <is>
          <t>Definir os requisitos de projeto e instalação das soluções individuais</t>
        </is>
      </c>
      <c r="H70" s="38" t="inlineStr">
        <is>
          <t>Referência técnica</t>
        </is>
      </c>
      <c r="I70" s="38" t="inlineStr">
        <is>
          <t>A avaliar</t>
        </is>
      </c>
      <c r="J70" s="38" t="inlineStr">
        <is>
          <t>IAT – equipe da Atividade 3.2.2</t>
        </is>
      </c>
      <c r="K70" s="38" t="inlineStr">
        <is>
          <t>Pendente</t>
        </is>
      </c>
      <c r="L70" s="39" t="n">
        <v>46321</v>
      </c>
      <c r="M70" s="38" t="n"/>
    </row>
    <row r="71" ht="51" customHeight="1">
      <c r="A71" s="38" t="inlineStr">
        <is>
          <t>C-067</t>
        </is>
      </c>
      <c r="B71" s="38" t="inlineStr">
        <is>
          <t>N-002</t>
        </is>
      </c>
      <c r="C71" s="38" t="inlineStr">
        <is>
          <t>Componente 3</t>
        </is>
      </c>
      <c r="D71" s="38" t="inlineStr">
        <is>
          <t>7. Gestão de riscos e impactos ambientais e sociais</t>
        </is>
      </c>
      <c r="E71" s="38" t="inlineStr">
        <is>
          <t>Ação 3.2.2.7</t>
        </is>
      </c>
      <c r="F71" s="38" t="inlineStr">
        <is>
          <t>A supervisora é um dos instrumentos de cumprimento das NAS nas obras: verifica, em campo, os requisitos ambientais, sociais e de saúde e segurança que as A…</t>
        </is>
      </c>
      <c r="G71" s="38" t="inlineStr">
        <is>
          <t>Indicar as NAS aplicáveis e as medidas da ação</t>
        </is>
      </c>
      <c r="H71" s="38" t="inlineStr">
        <is>
          <t>Requisito ambiental e social</t>
        </is>
      </c>
      <c r="I71" s="38" t="inlineStr">
        <is>
          <t>A avaliar</t>
        </is>
      </c>
      <c r="J71" s="38" t="inlineStr">
        <is>
          <t>IAT – equipe da Atividade 3.2.2</t>
        </is>
      </c>
      <c r="K71" s="38" t="inlineStr">
        <is>
          <t>Pendente</t>
        </is>
      </c>
      <c r="L71" s="39" t="n">
        <v>46321</v>
      </c>
      <c r="M71" s="38" t="n"/>
    </row>
    <row r="72" ht="96" customHeight="1">
      <c r="A72" s="38" t="inlineStr">
        <is>
          <t>C-068</t>
        </is>
      </c>
      <c r="B72" s="38" t="inlineStr">
        <is>
          <t>N-002</t>
        </is>
      </c>
      <c r="C72" s="38" t="inlineStr">
        <is>
          <t>Componente 3</t>
        </is>
      </c>
      <c r="D72" s="38" t="inlineStr">
        <is>
          <t>7. Gestão de riscos e impactos ambientais e sociais › Quadro “Aplicação das Normas Ambientais e Sociais à Ação 3.2.2.7”, linha “NAS 1 – Avaliação e gestão de riscos”</t>
        </is>
      </c>
      <c r="E72" s="38" t="inlineStr">
        <is>
          <t>Ação 3.2.2.7</t>
        </is>
      </c>
      <c r="F72" s="38" t="inlineStr">
        <is>
          <t>NAS 1 – Avaliação e gestão de riscos</t>
        </is>
      </c>
      <c r="G72" s="38" t="inlineStr">
        <is>
          <t>Indicar as NAS aplicáveis e as medidas da ação</t>
        </is>
      </c>
      <c r="H72" s="38" t="inlineStr">
        <is>
          <t>Requisito ambiental e social</t>
        </is>
      </c>
      <c r="I72" s="38" t="inlineStr">
        <is>
          <t>A avaliar</t>
        </is>
      </c>
      <c r="J72" s="38" t="inlineStr">
        <is>
          <t>IAT – equipe da Atividade 3.2.2</t>
        </is>
      </c>
      <c r="K72" s="38" t="inlineStr">
        <is>
          <t>Pendente</t>
        </is>
      </c>
      <c r="L72" s="39" t="n">
        <v>46321</v>
      </c>
      <c r="M72" s="38" t="inlineStr">
        <is>
          <t>Citação em quadro. Mais 3 menção(ões) no mesmo item.</t>
        </is>
      </c>
    </row>
    <row r="73" ht="36" customHeight="1">
      <c r="A73" s="38" t="inlineStr">
        <is>
          <t>C-069</t>
        </is>
      </c>
      <c r="B73" s="38" t="inlineStr">
        <is>
          <t>N-003</t>
        </is>
      </c>
      <c r="C73" s="38" t="inlineStr">
        <is>
          <t>Componente 3</t>
        </is>
      </c>
      <c r="D73" s="38" t="inlineStr">
        <is>
          <t>10. Documentos complementares</t>
        </is>
      </c>
      <c r="E73" s="38" t="inlineStr">
        <is>
          <t>Ação 3.2.2.7</t>
        </is>
      </c>
      <c r="F73" s="38" t="inlineStr">
        <is>
          <t>Regulamento de Aquisições do Banco Mundial para mutuários de Financiamento de Projetos de Investimen…</t>
        </is>
      </c>
      <c r="G73" s="38" t="inlineStr">
        <is>
          <t>Indicar as regras das contratações financiadas pelo BIRD</t>
        </is>
      </c>
      <c r="H73" s="38" t="inlineStr">
        <is>
          <t>Aquisições / contratos</t>
        </is>
      </c>
      <c r="I73" s="38" t="inlineStr">
        <is>
          <t>A avaliar</t>
        </is>
      </c>
      <c r="J73" s="38" t="inlineStr">
        <is>
          <t>IAT – equipe da Atividade 3.2.2</t>
        </is>
      </c>
      <c r="K73" s="38" t="inlineStr">
        <is>
          <t>Pendente</t>
        </is>
      </c>
      <c r="L73" s="39" t="n">
        <v>46321</v>
      </c>
      <c r="M73" s="38" t="n"/>
    </row>
    <row r="74" ht="23" customHeight="1">
      <c r="L74" s="41" t="n"/>
    </row>
    <row r="75" ht="23" customHeight="1">
      <c r="L75" s="41" t="n"/>
    </row>
    <row r="76" ht="23" customHeight="1">
      <c r="L76" s="41" t="n"/>
    </row>
    <row r="77" ht="23" customHeight="1">
      <c r="L77" s="41" t="n"/>
    </row>
    <row r="78" ht="23" customHeight="1">
      <c r="L78" s="41" t="n"/>
    </row>
    <row r="79" ht="23" customHeight="1">
      <c r="L79" s="41" t="n"/>
    </row>
    <row r="80" ht="23" customHeight="1">
      <c r="L80" s="41" t="n"/>
    </row>
    <row r="81" ht="23" customHeight="1">
      <c r="L81" s="41" t="n"/>
    </row>
    <row r="82" ht="23" customHeight="1">
      <c r="L82" s="41" t="n"/>
    </row>
    <row r="83" ht="23" customHeight="1">
      <c r="L83" s="41" t="n"/>
    </row>
    <row r="84" ht="23" customHeight="1">
      <c r="L84" s="41" t="n"/>
    </row>
    <row r="85" ht="23" customHeight="1">
      <c r="L85" s="41" t="n"/>
    </row>
    <row r="86" ht="23" customHeight="1">
      <c r="L86" s="41" t="n"/>
    </row>
    <row r="87" ht="23" customHeight="1">
      <c r="L87" s="41" t="n"/>
    </row>
    <row r="88" ht="23" customHeight="1">
      <c r="L88" s="41" t="n"/>
    </row>
    <row r="89" ht="23" customHeight="1">
      <c r="L89" s="41" t="n"/>
    </row>
    <row r="90" ht="23" customHeight="1">
      <c r="L90" s="41" t="n"/>
    </row>
    <row r="91" ht="23" customHeight="1">
      <c r="L91" s="41" t="n"/>
    </row>
    <row r="92" ht="23" customHeight="1">
      <c r="L92" s="41" t="n"/>
    </row>
    <row r="93" ht="23" customHeight="1">
      <c r="L93" s="41" t="n"/>
    </row>
    <row r="94" ht="23" customHeight="1">
      <c r="L94" s="41" t="n"/>
    </row>
    <row r="95" ht="23" customHeight="1">
      <c r="L95" s="41" t="n"/>
    </row>
    <row r="96" ht="23" customHeight="1">
      <c r="L96" s="41" t="n"/>
    </row>
    <row r="97" ht="23" customHeight="1">
      <c r="L97" s="41" t="n"/>
    </row>
    <row r="98" ht="23" customHeight="1">
      <c r="L98" s="41" t="n"/>
    </row>
    <row r="99" ht="23" customHeight="1">
      <c r="L99" s="41" t="n"/>
    </row>
    <row r="100" ht="23" customHeight="1">
      <c r="L100" s="41" t="n"/>
    </row>
    <row r="101" ht="23" customHeight="1">
      <c r="L101" s="41" t="n"/>
    </row>
    <row r="102" ht="23" customHeight="1">
      <c r="L102" s="41" t="n"/>
    </row>
    <row r="103" ht="23" customHeight="1">
      <c r="L103" s="41" t="n"/>
    </row>
    <row r="104" ht="23" customHeight="1">
      <c r="L104" s="41" t="n"/>
    </row>
    <row r="105" ht="23" customHeight="1">
      <c r="L105" s="41" t="n"/>
    </row>
    <row r="106" ht="23" customHeight="1">
      <c r="L106" s="41" t="n"/>
    </row>
    <row r="107" ht="23" customHeight="1">
      <c r="L107" s="41" t="n"/>
    </row>
    <row r="108" ht="23" customHeight="1">
      <c r="L108" s="41" t="n"/>
    </row>
    <row r="109" ht="23" customHeight="1">
      <c r="L109" s="41" t="n"/>
    </row>
    <row r="110" ht="23" customHeight="1">
      <c r="L110" s="41" t="n"/>
    </row>
    <row r="111" ht="23" customHeight="1">
      <c r="L111" s="41" t="n"/>
    </row>
    <row r="112" ht="23" customHeight="1">
      <c r="L112" s="41" t="n"/>
    </row>
    <row r="113" ht="23" customHeight="1">
      <c r="L113" s="41" t="n"/>
    </row>
    <row r="114" ht="23" customHeight="1">
      <c r="L114" s="41" t="n"/>
    </row>
    <row r="115" ht="23" customHeight="1">
      <c r="L115" s="41" t="n"/>
    </row>
    <row r="116" ht="23" customHeight="1">
      <c r="L116" s="41" t="n"/>
    </row>
    <row r="117" ht="23" customHeight="1">
      <c r="L117" s="41" t="n"/>
    </row>
    <row r="118" ht="23" customHeight="1">
      <c r="L118" s="41" t="n"/>
    </row>
    <row r="119" ht="23" customHeight="1">
      <c r="L119" s="41" t="n"/>
    </row>
    <row r="120" ht="23" customHeight="1">
      <c r="L120" s="41" t="n"/>
    </row>
    <row r="121" ht="23" customHeight="1">
      <c r="L121" s="41" t="n"/>
    </row>
    <row r="122" ht="23" customHeight="1">
      <c r="L122" s="41" t="n"/>
    </row>
    <row r="123" ht="23" customHeight="1">
      <c r="L123" s="41" t="n"/>
    </row>
    <row r="124" ht="23" customHeight="1">
      <c r="L124" s="41" t="n"/>
    </row>
    <row r="125" ht="23" customHeight="1">
      <c r="L125" s="41" t="n"/>
    </row>
    <row r="126" ht="23" customHeight="1">
      <c r="L126" s="41" t="n"/>
    </row>
    <row r="127" ht="23" customHeight="1">
      <c r="L127" s="41" t="n"/>
    </row>
    <row r="128" ht="23" customHeight="1">
      <c r="L128" s="41" t="n"/>
    </row>
    <row r="129" ht="23" customHeight="1">
      <c r="L129" s="41" t="n"/>
    </row>
    <row r="130" ht="23" customHeight="1">
      <c r="L130" s="41" t="n"/>
    </row>
    <row r="131" ht="23" customHeight="1">
      <c r="L131" s="41" t="n"/>
    </row>
    <row r="132" ht="23" customHeight="1">
      <c r="L132" s="41" t="n"/>
    </row>
    <row r="133" ht="23" customHeight="1">
      <c r="L133" s="41" t="n"/>
    </row>
    <row r="134" ht="23" customHeight="1">
      <c r="L134" s="41" t="n"/>
    </row>
    <row r="135" ht="23" customHeight="1">
      <c r="L135" s="41" t="n"/>
    </row>
    <row r="136" ht="23" customHeight="1">
      <c r="L136" s="41" t="n"/>
    </row>
    <row r="137" ht="23" customHeight="1">
      <c r="L137" s="41" t="n"/>
    </row>
    <row r="138" ht="23" customHeight="1">
      <c r="L138" s="41" t="n"/>
    </row>
    <row r="139" ht="23" customHeight="1">
      <c r="L139" s="41" t="n"/>
    </row>
    <row r="140" ht="23" customHeight="1">
      <c r="L140" s="41" t="n"/>
    </row>
    <row r="141" ht="23" customHeight="1">
      <c r="L141" s="41" t="n"/>
    </row>
    <row r="142" ht="23" customHeight="1">
      <c r="L142" s="41" t="n"/>
    </row>
    <row r="143" ht="23" customHeight="1">
      <c r="L143" s="41" t="n"/>
    </row>
    <row r="144" ht="23" customHeight="1">
      <c r="L144" s="41" t="n"/>
    </row>
    <row r="145" ht="23" customHeight="1">
      <c r="L145" s="41" t="n"/>
    </row>
    <row r="146" ht="23" customHeight="1">
      <c r="L146" s="41" t="n"/>
    </row>
    <row r="147" ht="23" customHeight="1">
      <c r="L147" s="41" t="n"/>
    </row>
    <row r="148" ht="23" customHeight="1">
      <c r="L148" s="41" t="n"/>
    </row>
    <row r="149" ht="23" customHeight="1">
      <c r="L149" s="41" t="n"/>
    </row>
    <row r="150" ht="23" customHeight="1">
      <c r="L150" s="41" t="n"/>
    </row>
    <row r="151" ht="23" customHeight="1">
      <c r="L151" s="41" t="n"/>
    </row>
    <row r="152" ht="23" customHeight="1">
      <c r="L152" s="41" t="n"/>
    </row>
    <row r="153" ht="23" customHeight="1">
      <c r="L153" s="41" t="n"/>
    </row>
    <row r="154" ht="23" customHeight="1">
      <c r="L154" s="41" t="n"/>
    </row>
    <row r="155" ht="23" customHeight="1">
      <c r="L155" s="41" t="n"/>
    </row>
    <row r="156" ht="23" customHeight="1">
      <c r="L156" s="41" t="n"/>
    </row>
    <row r="157" ht="23" customHeight="1">
      <c r="L157" s="41" t="n"/>
    </row>
    <row r="158" ht="23" customHeight="1">
      <c r="L158" s="41" t="n"/>
    </row>
    <row r="159" ht="23" customHeight="1">
      <c r="L159" s="41" t="n"/>
    </row>
    <row r="160" ht="23" customHeight="1">
      <c r="L160" s="41" t="n"/>
    </row>
    <row r="161" ht="23" customHeight="1">
      <c r="L161" s="41" t="n"/>
    </row>
    <row r="162" ht="23" customHeight="1">
      <c r="L162" s="41" t="n"/>
    </row>
    <row r="163" ht="23" customHeight="1">
      <c r="L163" s="41" t="n"/>
    </row>
    <row r="164" ht="23" customHeight="1">
      <c r="L164" s="41" t="n"/>
    </row>
    <row r="165" ht="23" customHeight="1">
      <c r="L165" s="41" t="n"/>
    </row>
    <row r="166" ht="23" customHeight="1">
      <c r="L166" s="41" t="n"/>
    </row>
    <row r="167" ht="23" customHeight="1">
      <c r="L167" s="41" t="n"/>
    </row>
    <row r="168" ht="23" customHeight="1">
      <c r="L168" s="41" t="n"/>
    </row>
    <row r="169" ht="23" customHeight="1">
      <c r="L169" s="41" t="n"/>
    </row>
    <row r="170" ht="23" customHeight="1">
      <c r="L170" s="41" t="n"/>
    </row>
    <row r="171" ht="23" customHeight="1">
      <c r="L171" s="41" t="n"/>
    </row>
    <row r="172" ht="23" customHeight="1">
      <c r="L172" s="41" t="n"/>
    </row>
    <row r="173" ht="23" customHeight="1">
      <c r="L173" s="41" t="n"/>
    </row>
    <row r="174" ht="23" customHeight="1">
      <c r="L174" s="41" t="n"/>
    </row>
    <row r="175" ht="23" customHeight="1">
      <c r="L175" s="41" t="n"/>
    </row>
    <row r="176" ht="23" customHeight="1">
      <c r="L176" s="41" t="n"/>
    </row>
    <row r="177" ht="23" customHeight="1">
      <c r="L177" s="41" t="n"/>
    </row>
    <row r="178" ht="23" customHeight="1">
      <c r="L178" s="41" t="n"/>
    </row>
    <row r="179" ht="23" customHeight="1">
      <c r="L179" s="41" t="n"/>
    </row>
    <row r="180" ht="23" customHeight="1">
      <c r="L180" s="41" t="n"/>
    </row>
    <row r="181" ht="23" customHeight="1">
      <c r="L181" s="41" t="n"/>
    </row>
    <row r="182" ht="23" customHeight="1">
      <c r="L182" s="41" t="n"/>
    </row>
    <row r="183" ht="23" customHeight="1">
      <c r="L183" s="41" t="n"/>
    </row>
    <row r="184" ht="23" customHeight="1">
      <c r="L184" s="41" t="n"/>
    </row>
    <row r="185" ht="23" customHeight="1">
      <c r="L185" s="41" t="n"/>
    </row>
    <row r="186" ht="23" customHeight="1">
      <c r="L186" s="41" t="n"/>
    </row>
    <row r="187" ht="23" customHeight="1">
      <c r="L187" s="41" t="n"/>
    </row>
    <row r="188" ht="23" customHeight="1">
      <c r="L188" s="41" t="n"/>
    </row>
    <row r="189" ht="23" customHeight="1">
      <c r="L189" s="41" t="n"/>
    </row>
    <row r="190" ht="23" customHeight="1">
      <c r="L190" s="41" t="n"/>
    </row>
    <row r="191" ht="23" customHeight="1">
      <c r="L191" s="41" t="n"/>
    </row>
    <row r="192" ht="23" customHeight="1">
      <c r="L192" s="41" t="n"/>
    </row>
    <row r="193" ht="23" customHeight="1">
      <c r="L193" s="41" t="n"/>
    </row>
    <row r="194" ht="23" customHeight="1">
      <c r="L194" s="41" t="n"/>
    </row>
    <row r="195" ht="23" customHeight="1">
      <c r="L195" s="41" t="n"/>
    </row>
    <row r="196" ht="23" customHeight="1">
      <c r="L196" s="41" t="n"/>
    </row>
    <row r="197" ht="23" customHeight="1">
      <c r="L197" s="41" t="n"/>
    </row>
    <row r="198" ht="23" customHeight="1">
      <c r="L198" s="41" t="n"/>
    </row>
    <row r="199" ht="23" customHeight="1">
      <c r="L199" s="41" t="n"/>
    </row>
    <row r="200" ht="23" customHeight="1">
      <c r="L200" s="41" t="n"/>
    </row>
    <row r="201" ht="23" customHeight="1">
      <c r="L201" s="41" t="n"/>
    </row>
    <row r="202" ht="23" customHeight="1">
      <c r="L202" s="41" t="n"/>
    </row>
    <row r="203" ht="23" customHeight="1">
      <c r="L203" s="41" t="n"/>
    </row>
    <row r="204" ht="23" customHeight="1">
      <c r="L204" s="41" t="n"/>
    </row>
    <row r="205" ht="23" customHeight="1">
      <c r="L205" s="41" t="n"/>
    </row>
    <row r="206" ht="23" customHeight="1">
      <c r="L206" s="41" t="n"/>
    </row>
    <row r="207" ht="23" customHeight="1">
      <c r="L207" s="41" t="n"/>
    </row>
    <row r="208" ht="23" customHeight="1">
      <c r="L208" s="41" t="n"/>
    </row>
    <row r="209" ht="23" customHeight="1">
      <c r="L209" s="41" t="n"/>
    </row>
    <row r="210" ht="23" customHeight="1">
      <c r="L210" s="41" t="n"/>
    </row>
    <row r="211" ht="23" customHeight="1">
      <c r="L211" s="41" t="n"/>
    </row>
    <row r="212" ht="23" customHeight="1">
      <c r="L212" s="41" t="n"/>
    </row>
    <row r="213" ht="23" customHeight="1">
      <c r="L213" s="41" t="n"/>
    </row>
    <row r="214" ht="23" customHeight="1">
      <c r="L214" s="41" t="n"/>
    </row>
    <row r="215" ht="23" customHeight="1">
      <c r="L215" s="41" t="n"/>
    </row>
    <row r="216" ht="23" customHeight="1">
      <c r="L216" s="41" t="n"/>
    </row>
    <row r="217" ht="23" customHeight="1">
      <c r="L217" s="41" t="n"/>
    </row>
    <row r="218" ht="23" customHeight="1">
      <c r="L218" s="41" t="n"/>
    </row>
    <row r="219" ht="23" customHeight="1">
      <c r="L219" s="41" t="n"/>
    </row>
    <row r="220" ht="23" customHeight="1">
      <c r="L220" s="41" t="n"/>
    </row>
    <row r="221" ht="23" customHeight="1">
      <c r="L221" s="41" t="n"/>
    </row>
    <row r="222" ht="23" customHeight="1">
      <c r="L222" s="41" t="n"/>
    </row>
    <row r="223" ht="23" customHeight="1">
      <c r="L223" s="41" t="n"/>
    </row>
    <row r="224" ht="23" customHeight="1">
      <c r="L224" s="41" t="n"/>
    </row>
    <row r="225" ht="23" customHeight="1">
      <c r="L225" s="41" t="n"/>
    </row>
    <row r="226" ht="23" customHeight="1">
      <c r="L226" s="41" t="n"/>
    </row>
    <row r="227" ht="23" customHeight="1">
      <c r="L227" s="41" t="n"/>
    </row>
    <row r="228" ht="23" customHeight="1">
      <c r="L228" s="41" t="n"/>
    </row>
    <row r="229" ht="23" customHeight="1">
      <c r="L229" s="41" t="n"/>
    </row>
    <row r="230" ht="23" customHeight="1">
      <c r="L230" s="41" t="n"/>
    </row>
    <row r="231" ht="23" customHeight="1">
      <c r="L231" s="41" t="n"/>
    </row>
    <row r="232" ht="23" customHeight="1">
      <c r="L232" s="41" t="n"/>
    </row>
    <row r="233" ht="23" customHeight="1">
      <c r="L233" s="41" t="n"/>
    </row>
    <row r="234" ht="23" customHeight="1">
      <c r="L234" s="41" t="n"/>
    </row>
    <row r="235" ht="23" customHeight="1">
      <c r="L235" s="41" t="n"/>
    </row>
    <row r="236" ht="23" customHeight="1">
      <c r="L236" s="41" t="n"/>
    </row>
    <row r="237" ht="23" customHeight="1">
      <c r="L237" s="41" t="n"/>
    </row>
    <row r="238" ht="23" customHeight="1">
      <c r="L238" s="41" t="n"/>
    </row>
    <row r="239" ht="23" customHeight="1">
      <c r="L239" s="41" t="n"/>
    </row>
    <row r="240" ht="23" customHeight="1">
      <c r="L240" s="41" t="n"/>
    </row>
    <row r="241" ht="23" customHeight="1">
      <c r="L241" s="41" t="n"/>
    </row>
    <row r="242" ht="23" customHeight="1">
      <c r="L242" s="41" t="n"/>
    </row>
    <row r="243" ht="23" customHeight="1">
      <c r="L243" s="41" t="n"/>
    </row>
    <row r="244" ht="23" customHeight="1">
      <c r="L244" s="41" t="n"/>
    </row>
    <row r="245" ht="23" customHeight="1">
      <c r="L245" s="41" t="n"/>
    </row>
    <row r="246" ht="23" customHeight="1">
      <c r="L246" s="41" t="n"/>
    </row>
    <row r="247" ht="23" customHeight="1">
      <c r="L247" s="41" t="n"/>
    </row>
    <row r="248" ht="23" customHeight="1">
      <c r="L248" s="41" t="n"/>
    </row>
    <row r="249" ht="23" customHeight="1">
      <c r="L249" s="41" t="n"/>
    </row>
    <row r="250" ht="23" customHeight="1">
      <c r="L250" s="41" t="n"/>
    </row>
    <row r="251" ht="23" customHeight="1">
      <c r="L251" s="41" t="n"/>
    </row>
    <row r="252" ht="23" customHeight="1">
      <c r="L252" s="41" t="n"/>
    </row>
    <row r="253" ht="23" customHeight="1">
      <c r="L253" s="41" t="n"/>
    </row>
    <row r="254" ht="23" customHeight="1">
      <c r="L254" s="41" t="n"/>
    </row>
    <row r="255" ht="23" customHeight="1">
      <c r="L255" s="41" t="n"/>
    </row>
    <row r="256" ht="23" customHeight="1">
      <c r="L256" s="41" t="n"/>
    </row>
    <row r="257" ht="23" customHeight="1">
      <c r="L257" s="41" t="n"/>
    </row>
    <row r="258" ht="23" customHeight="1">
      <c r="L258" s="41" t="n"/>
    </row>
    <row r="259" ht="23" customHeight="1">
      <c r="L259" s="41" t="n"/>
    </row>
    <row r="260" ht="23" customHeight="1">
      <c r="L260" s="41" t="n"/>
    </row>
    <row r="261" ht="23" customHeight="1">
      <c r="L261" s="41" t="n"/>
    </row>
    <row r="262" ht="23" customHeight="1">
      <c r="L262" s="41" t="n"/>
    </row>
    <row r="263" ht="23" customHeight="1">
      <c r="L263" s="41" t="n"/>
    </row>
    <row r="264" ht="23" customHeight="1">
      <c r="L264" s="41" t="n"/>
    </row>
    <row r="265" ht="23" customHeight="1">
      <c r="L265" s="41" t="n"/>
    </row>
    <row r="266" ht="23" customHeight="1">
      <c r="L266" s="41" t="n"/>
    </row>
    <row r="267" ht="23" customHeight="1">
      <c r="L267" s="41" t="n"/>
    </row>
    <row r="268" ht="23" customHeight="1">
      <c r="L268" s="41" t="n"/>
    </row>
    <row r="269" ht="23" customHeight="1">
      <c r="L269" s="41" t="n"/>
    </row>
    <row r="270" ht="23" customHeight="1">
      <c r="L270" s="41" t="n"/>
    </row>
    <row r="271" ht="23" customHeight="1">
      <c r="L271" s="41" t="n"/>
    </row>
    <row r="272" ht="23" customHeight="1">
      <c r="L272" s="41" t="n"/>
    </row>
    <row r="273" ht="23" customHeight="1">
      <c r="L273" s="41" t="n"/>
    </row>
    <row r="274" ht="23" customHeight="1">
      <c r="L274" s="41" t="n"/>
    </row>
    <row r="275" ht="23" customHeight="1">
      <c r="L275" s="41" t="n"/>
    </row>
    <row r="276" ht="23" customHeight="1">
      <c r="L276" s="41" t="n"/>
    </row>
    <row r="277" ht="23" customHeight="1">
      <c r="L277" s="41" t="n"/>
    </row>
    <row r="278" ht="23" customHeight="1">
      <c r="L278" s="41" t="n"/>
    </row>
    <row r="279" ht="23" customHeight="1">
      <c r="L279" s="41" t="n"/>
    </row>
    <row r="280" ht="23" customHeight="1">
      <c r="L280" s="41" t="n"/>
    </row>
    <row r="281" ht="23" customHeight="1">
      <c r="L281" s="41" t="n"/>
    </row>
    <row r="282" ht="23" customHeight="1">
      <c r="L282" s="41" t="n"/>
    </row>
    <row r="283" ht="23" customHeight="1">
      <c r="L283" s="41" t="n"/>
    </row>
    <row r="284" ht="23" customHeight="1">
      <c r="L284" s="41" t="n"/>
    </row>
    <row r="285" ht="23" customHeight="1">
      <c r="L285" s="41" t="n"/>
    </row>
    <row r="286" ht="23" customHeight="1">
      <c r="L286" s="41" t="n"/>
    </row>
    <row r="287" ht="23" customHeight="1">
      <c r="L287" s="41" t="n"/>
    </row>
    <row r="288" ht="23" customHeight="1">
      <c r="L288" s="41" t="n"/>
    </row>
    <row r="289" ht="23" customHeight="1">
      <c r="L289" s="41" t="n"/>
    </row>
    <row r="290" ht="23" customHeight="1">
      <c r="L290" s="41" t="n"/>
    </row>
    <row r="291" ht="23" customHeight="1">
      <c r="L291" s="41" t="n"/>
    </row>
    <row r="292" ht="23" customHeight="1">
      <c r="L292" s="41" t="n"/>
    </row>
    <row r="293" ht="23" customHeight="1">
      <c r="L293" s="41" t="n"/>
    </row>
    <row r="294" ht="23" customHeight="1">
      <c r="L294" s="41" t="n"/>
    </row>
    <row r="295" ht="23" customHeight="1">
      <c r="L295" s="41" t="n"/>
    </row>
    <row r="296" ht="23" customHeight="1">
      <c r="L296" s="41" t="n"/>
    </row>
    <row r="297" ht="23" customHeight="1">
      <c r="L297" s="41" t="n"/>
    </row>
    <row r="298" ht="23" customHeight="1">
      <c r="L298" s="41" t="n"/>
    </row>
    <row r="299" ht="23" customHeight="1">
      <c r="L299" s="41" t="n"/>
    </row>
    <row r="300" ht="23" customHeight="1">
      <c r="L300" s="41" t="n"/>
    </row>
    <row r="301" ht="23" customHeight="1">
      <c r="L301" s="41" t="n"/>
    </row>
    <row r="302" ht="23" customHeight="1">
      <c r="L302" s="41" t="n"/>
    </row>
    <row r="303" ht="23" customHeight="1">
      <c r="L303" s="41" t="n"/>
    </row>
    <row r="304" ht="23" customHeight="1">
      <c r="L304" s="41" t="n"/>
    </row>
    <row r="305" ht="23" customHeight="1">
      <c r="L305" s="41" t="n"/>
    </row>
    <row r="306" ht="23" customHeight="1">
      <c r="L306" s="41" t="n"/>
    </row>
    <row r="307" ht="23" customHeight="1">
      <c r="L307" s="41" t="n"/>
    </row>
    <row r="308" ht="23" customHeight="1">
      <c r="L308" s="41" t="n"/>
    </row>
    <row r="309" ht="23" customHeight="1">
      <c r="L309" s="41" t="n"/>
    </row>
    <row r="310" ht="23" customHeight="1">
      <c r="L310" s="41" t="n"/>
    </row>
    <row r="311" ht="23" customHeight="1">
      <c r="L311" s="41" t="n"/>
    </row>
    <row r="312" ht="23" customHeight="1">
      <c r="L312" s="41" t="n"/>
    </row>
    <row r="313" ht="23" customHeight="1">
      <c r="L313" s="41" t="n"/>
    </row>
    <row r="314" ht="23" customHeight="1">
      <c r="L314" s="41" t="n"/>
    </row>
    <row r="315" ht="23" customHeight="1">
      <c r="L315" s="41" t="n"/>
    </row>
    <row r="316" ht="23" customHeight="1">
      <c r="L316" s="41" t="n"/>
    </row>
    <row r="317" ht="23" customHeight="1">
      <c r="L317" s="41" t="n"/>
    </row>
    <row r="318" ht="23" customHeight="1">
      <c r="L318" s="41" t="n"/>
    </row>
    <row r="319" ht="23" customHeight="1">
      <c r="L319" s="41" t="n"/>
    </row>
    <row r="320" ht="23" customHeight="1">
      <c r="L320" s="41" t="n"/>
    </row>
    <row r="321" ht="23" customHeight="1">
      <c r="L321" s="41" t="n"/>
    </row>
    <row r="322" ht="23" customHeight="1">
      <c r="L322" s="41" t="n"/>
    </row>
    <row r="323" ht="23" customHeight="1">
      <c r="L323" s="41" t="n"/>
    </row>
    <row r="324" ht="23" customHeight="1">
      <c r="L324" s="41" t="n"/>
    </row>
    <row r="325" ht="23" customHeight="1">
      <c r="L325" s="41" t="n"/>
    </row>
    <row r="326" ht="23" customHeight="1">
      <c r="L326" s="41" t="n"/>
    </row>
    <row r="327" ht="23" customHeight="1">
      <c r="L327" s="41" t="n"/>
    </row>
    <row r="328" ht="23" customHeight="1">
      <c r="L328" s="41" t="n"/>
    </row>
    <row r="329" ht="23" customHeight="1">
      <c r="L329" s="41" t="n"/>
    </row>
    <row r="330" ht="23" customHeight="1">
      <c r="L330" s="41" t="n"/>
    </row>
    <row r="331" ht="23" customHeight="1">
      <c r="L331" s="41" t="n"/>
    </row>
    <row r="332" ht="23" customHeight="1">
      <c r="L332" s="41" t="n"/>
    </row>
    <row r="333" ht="23" customHeight="1">
      <c r="L333" s="41" t="n"/>
    </row>
    <row r="334" ht="23" customHeight="1">
      <c r="L334" s="41" t="n"/>
    </row>
    <row r="335" ht="23" customHeight="1">
      <c r="L335" s="41" t="n"/>
    </row>
    <row r="336" ht="23" customHeight="1">
      <c r="L336" s="41" t="n"/>
    </row>
    <row r="337" ht="23" customHeight="1">
      <c r="L337" s="41" t="n"/>
    </row>
    <row r="338" ht="23" customHeight="1">
      <c r="L338" s="41" t="n"/>
    </row>
    <row r="339" ht="23" customHeight="1">
      <c r="L339" s="41" t="n"/>
    </row>
    <row r="340" ht="23" customHeight="1">
      <c r="L340" s="41" t="n"/>
    </row>
    <row r="341" ht="23" customHeight="1">
      <c r="L341" s="41" t="n"/>
    </row>
    <row r="342" ht="23" customHeight="1">
      <c r="L342" s="41" t="n"/>
    </row>
    <row r="343" ht="23" customHeight="1">
      <c r="L343" s="41" t="n"/>
    </row>
    <row r="344" ht="23" customHeight="1">
      <c r="L344" s="41" t="n"/>
    </row>
    <row r="345" ht="23" customHeight="1">
      <c r="L345" s="41" t="n"/>
    </row>
    <row r="346" ht="23" customHeight="1">
      <c r="L346" s="41" t="n"/>
    </row>
    <row r="347" ht="23" customHeight="1">
      <c r="L347" s="41" t="n"/>
    </row>
    <row r="348" ht="23" customHeight="1">
      <c r="L348" s="41" t="n"/>
    </row>
    <row r="349" ht="23" customHeight="1">
      <c r="L349" s="41" t="n"/>
    </row>
    <row r="350" ht="23" customHeight="1">
      <c r="L350" s="41" t="n"/>
    </row>
    <row r="351" ht="23" customHeight="1">
      <c r="L351" s="41" t="n"/>
    </row>
    <row r="352" ht="23" customHeight="1">
      <c r="L352" s="41" t="n"/>
    </row>
    <row r="353" ht="23" customHeight="1">
      <c r="L353" s="41" t="n"/>
    </row>
    <row r="354" ht="23" customHeight="1">
      <c r="L354" s="41" t="n"/>
    </row>
    <row r="355" ht="23" customHeight="1">
      <c r="L355" s="41" t="n"/>
    </row>
    <row r="356" ht="23" customHeight="1">
      <c r="L356" s="41" t="n"/>
    </row>
    <row r="357" ht="23" customHeight="1">
      <c r="L357" s="41" t="n"/>
    </row>
    <row r="358" ht="23" customHeight="1">
      <c r="L358" s="41" t="n"/>
    </row>
    <row r="359" ht="23" customHeight="1">
      <c r="L359" s="41" t="n"/>
    </row>
    <row r="360" ht="23" customHeight="1">
      <c r="L360" s="41" t="n"/>
    </row>
    <row r="361" ht="23" customHeight="1">
      <c r="L361" s="41" t="n"/>
    </row>
    <row r="362" ht="23" customHeight="1">
      <c r="L362" s="41" t="n"/>
    </row>
    <row r="363" ht="23" customHeight="1">
      <c r="L363" s="41" t="n"/>
    </row>
    <row r="364" ht="23" customHeight="1">
      <c r="L364" s="41" t="n"/>
    </row>
    <row r="365" ht="23" customHeight="1">
      <c r="L365" s="41" t="n"/>
    </row>
    <row r="366" ht="23" customHeight="1">
      <c r="L366" s="41" t="n"/>
    </row>
    <row r="367" ht="23" customHeight="1">
      <c r="L367" s="41" t="n"/>
    </row>
    <row r="368" ht="23" customHeight="1">
      <c r="L368" s="41" t="n"/>
    </row>
    <row r="369" ht="23" customHeight="1">
      <c r="L369" s="41" t="n"/>
    </row>
    <row r="370" ht="23" customHeight="1">
      <c r="L370" s="41" t="n"/>
    </row>
    <row r="371" ht="23" customHeight="1">
      <c r="L371" s="41" t="n"/>
    </row>
    <row r="372" ht="23" customHeight="1">
      <c r="L372" s="41" t="n"/>
    </row>
    <row r="373" ht="23" customHeight="1">
      <c r="L373" s="41" t="n"/>
    </row>
    <row r="374" ht="23" customHeight="1">
      <c r="L374" s="41" t="n"/>
    </row>
    <row r="375" ht="23" customHeight="1">
      <c r="L375" s="41" t="n"/>
    </row>
    <row r="376" ht="23" customHeight="1">
      <c r="L376" s="41" t="n"/>
    </row>
    <row r="377" ht="23" customHeight="1">
      <c r="L377" s="41" t="n"/>
    </row>
    <row r="378" ht="23" customHeight="1">
      <c r="L378" s="41" t="n"/>
    </row>
    <row r="379" ht="23" customHeight="1">
      <c r="L379" s="41" t="n"/>
    </row>
    <row r="380" ht="23" customHeight="1">
      <c r="L380" s="41" t="n"/>
    </row>
    <row r="381" ht="23" customHeight="1">
      <c r="L381" s="41" t="n"/>
    </row>
    <row r="382" ht="23" customHeight="1">
      <c r="L382" s="41" t="n"/>
    </row>
    <row r="383" ht="23" customHeight="1">
      <c r="L383" s="41" t="n"/>
    </row>
    <row r="384" ht="23" customHeight="1">
      <c r="L384" s="41" t="n"/>
    </row>
    <row r="385" ht="23" customHeight="1">
      <c r="L385" s="41" t="n"/>
    </row>
    <row r="386" ht="23" customHeight="1">
      <c r="L386" s="41" t="n"/>
    </row>
    <row r="387" ht="23" customHeight="1">
      <c r="L387" s="41" t="n"/>
    </row>
    <row r="388" ht="23" customHeight="1">
      <c r="L388" s="41" t="n"/>
    </row>
    <row r="389" ht="23" customHeight="1">
      <c r="L389" s="41" t="n"/>
    </row>
    <row r="390" ht="23" customHeight="1">
      <c r="L390" s="41" t="n"/>
    </row>
    <row r="391" ht="23" customHeight="1">
      <c r="L391" s="41" t="n"/>
    </row>
    <row r="392" ht="23" customHeight="1">
      <c r="L392" s="41" t="n"/>
    </row>
    <row r="393" ht="23" customHeight="1">
      <c r="L393" s="41" t="n"/>
    </row>
    <row r="394" ht="23" customHeight="1">
      <c r="L394" s="41" t="n"/>
    </row>
    <row r="395" ht="23" customHeight="1">
      <c r="L395" s="41" t="n"/>
    </row>
    <row r="396" ht="23" customHeight="1">
      <c r="L396" s="41" t="n"/>
    </row>
    <row r="397" ht="23" customHeight="1">
      <c r="L397" s="41" t="n"/>
    </row>
    <row r="398" ht="23" customHeight="1">
      <c r="L398" s="41" t="n"/>
    </row>
    <row r="399" ht="23" customHeight="1">
      <c r="L399" s="41" t="n"/>
    </row>
    <row r="400" ht="23" customHeight="1">
      <c r="L400" s="41" t="n"/>
    </row>
    <row r="401" ht="23" customHeight="1">
      <c r="L401" s="41" t="n"/>
    </row>
    <row r="402" ht="23" customHeight="1">
      <c r="L402" s="41" t="n"/>
    </row>
    <row r="403" ht="23" customHeight="1">
      <c r="L403" s="41" t="n"/>
    </row>
    <row r="404" ht="23" customHeight="1">
      <c r="L404" s="41" t="n"/>
    </row>
    <row r="405" ht="23" customHeight="1">
      <c r="L405" s="41" t="n"/>
    </row>
    <row r="406" ht="23" customHeight="1">
      <c r="L406" s="41" t="n"/>
    </row>
    <row r="407" ht="23" customHeight="1">
      <c r="L407" s="41" t="n"/>
    </row>
    <row r="408" ht="23" customHeight="1">
      <c r="L408" s="41" t="n"/>
    </row>
    <row r="409" ht="23" customHeight="1">
      <c r="L409" s="41" t="n"/>
    </row>
    <row r="410" ht="23" customHeight="1">
      <c r="L410" s="41" t="n"/>
    </row>
    <row r="411" ht="23" customHeight="1">
      <c r="L411" s="41" t="n"/>
    </row>
    <row r="412" ht="23" customHeight="1">
      <c r="L412" s="41" t="n"/>
    </row>
    <row r="413" ht="23" customHeight="1">
      <c r="L413" s="41" t="n"/>
    </row>
    <row r="414" ht="23" customHeight="1">
      <c r="L414" s="41" t="n"/>
    </row>
    <row r="415" ht="23" customHeight="1">
      <c r="L415" s="41" t="n"/>
    </row>
    <row r="416" ht="23" customHeight="1">
      <c r="L416" s="41" t="n"/>
    </row>
    <row r="417" ht="23" customHeight="1">
      <c r="L417" s="41" t="n"/>
    </row>
    <row r="418" ht="23" customHeight="1">
      <c r="L418" s="41" t="n"/>
    </row>
    <row r="419" ht="23" customHeight="1">
      <c r="L419" s="41" t="n"/>
    </row>
    <row r="420" ht="23" customHeight="1">
      <c r="L420" s="41" t="n"/>
    </row>
    <row r="421" ht="23" customHeight="1">
      <c r="L421" s="41" t="n"/>
    </row>
    <row r="422" ht="23" customHeight="1">
      <c r="L422" s="41" t="n"/>
    </row>
    <row r="423" ht="23" customHeight="1">
      <c r="L423" s="41" t="n"/>
    </row>
    <row r="424" ht="23" customHeight="1">
      <c r="L424" s="41" t="n"/>
    </row>
    <row r="425" ht="23" customHeight="1">
      <c r="L425" s="41" t="n"/>
    </row>
    <row r="426" ht="23" customHeight="1">
      <c r="L426" s="41" t="n"/>
    </row>
    <row r="427" ht="23" customHeight="1">
      <c r="L427" s="41" t="n"/>
    </row>
    <row r="428" ht="23" customHeight="1">
      <c r="L428" s="41" t="n"/>
    </row>
    <row r="429" ht="23" customHeight="1">
      <c r="L429" s="41" t="n"/>
    </row>
    <row r="430" ht="23" customHeight="1">
      <c r="L430" s="41" t="n"/>
    </row>
    <row r="431" ht="23" customHeight="1">
      <c r="L431" s="41" t="n"/>
    </row>
    <row r="432" ht="23" customHeight="1">
      <c r="L432" s="41" t="n"/>
    </row>
    <row r="433" ht="23" customHeight="1">
      <c r="L433" s="41" t="n"/>
    </row>
    <row r="434" ht="23" customHeight="1">
      <c r="L434" s="41" t="n"/>
    </row>
    <row r="435" ht="23" customHeight="1">
      <c r="L435" s="41" t="n"/>
    </row>
    <row r="436" ht="23" customHeight="1">
      <c r="L436" s="41" t="n"/>
    </row>
    <row r="437" ht="23" customHeight="1">
      <c r="L437" s="41" t="n"/>
    </row>
    <row r="438" ht="23" customHeight="1">
      <c r="L438" s="41" t="n"/>
    </row>
    <row r="439" ht="23" customHeight="1">
      <c r="L439" s="41" t="n"/>
    </row>
    <row r="440" ht="23" customHeight="1">
      <c r="L440" s="41" t="n"/>
    </row>
    <row r="441" ht="23" customHeight="1">
      <c r="L441" s="41" t="n"/>
    </row>
    <row r="442" ht="23" customHeight="1">
      <c r="L442" s="41" t="n"/>
    </row>
    <row r="443" ht="23" customHeight="1">
      <c r="L443" s="41" t="n"/>
    </row>
    <row r="444" ht="23" customHeight="1">
      <c r="L444" s="41" t="n"/>
    </row>
    <row r="445" ht="23" customHeight="1">
      <c r="L445" s="41" t="n"/>
    </row>
    <row r="446" ht="23" customHeight="1">
      <c r="L446" s="41" t="n"/>
    </row>
    <row r="447" ht="23" customHeight="1">
      <c r="L447" s="41" t="n"/>
    </row>
    <row r="448" ht="23" customHeight="1">
      <c r="L448" s="41" t="n"/>
    </row>
    <row r="449" ht="23" customHeight="1">
      <c r="L449" s="41" t="n"/>
    </row>
    <row r="450" ht="23" customHeight="1">
      <c r="L450" s="41" t="n"/>
    </row>
    <row r="451" ht="23" customHeight="1">
      <c r="L451" s="41" t="n"/>
    </row>
    <row r="452" ht="23" customHeight="1">
      <c r="L452" s="41" t="n"/>
    </row>
    <row r="453" ht="23" customHeight="1">
      <c r="L453" s="41" t="n"/>
    </row>
    <row r="454" ht="23" customHeight="1">
      <c r="L454" s="41" t="n"/>
    </row>
    <row r="455" ht="23" customHeight="1">
      <c r="L455" s="41" t="n"/>
    </row>
    <row r="456" ht="23" customHeight="1">
      <c r="L456" s="41" t="n"/>
    </row>
    <row r="457" ht="23" customHeight="1">
      <c r="L457" s="41" t="n"/>
    </row>
    <row r="458" ht="23" customHeight="1">
      <c r="L458" s="41" t="n"/>
    </row>
    <row r="459" ht="23" customHeight="1">
      <c r="L459" s="41" t="n"/>
    </row>
    <row r="460" ht="23" customHeight="1">
      <c r="L460" s="41" t="n"/>
    </row>
    <row r="461" ht="23" customHeight="1">
      <c r="L461" s="41" t="n"/>
    </row>
    <row r="462" ht="23" customHeight="1">
      <c r="L462" s="41" t="n"/>
    </row>
    <row r="463" ht="23" customHeight="1">
      <c r="L463" s="41" t="n"/>
    </row>
    <row r="464" ht="23" customHeight="1">
      <c r="L464" s="41" t="n"/>
    </row>
    <row r="465" ht="23" customHeight="1">
      <c r="L465" s="41" t="n"/>
    </row>
    <row r="466" ht="23" customHeight="1">
      <c r="L466" s="41" t="n"/>
    </row>
    <row r="467" ht="23" customHeight="1">
      <c r="L467" s="41" t="n"/>
    </row>
    <row r="468" ht="23" customHeight="1">
      <c r="L468" s="41" t="n"/>
    </row>
    <row r="469" ht="23" customHeight="1">
      <c r="L469" s="41" t="n"/>
    </row>
    <row r="470" ht="23" customHeight="1">
      <c r="L470" s="41" t="n"/>
    </row>
    <row r="471" ht="23" customHeight="1">
      <c r="L471" s="41" t="n"/>
    </row>
    <row r="472" ht="23" customHeight="1">
      <c r="L472" s="41" t="n"/>
    </row>
    <row r="473" ht="23" customHeight="1">
      <c r="L473" s="41" t="n"/>
    </row>
    <row r="474" ht="23" customHeight="1">
      <c r="L474" s="41" t="n"/>
    </row>
    <row r="475" ht="23" customHeight="1">
      <c r="L475" s="41" t="n"/>
    </row>
    <row r="476" ht="23" customHeight="1">
      <c r="L476" s="41" t="n"/>
    </row>
    <row r="477" ht="23" customHeight="1">
      <c r="L477" s="41" t="n"/>
    </row>
    <row r="478" ht="23" customHeight="1">
      <c r="L478" s="41" t="n"/>
    </row>
    <row r="479" ht="23" customHeight="1">
      <c r="L479" s="41" t="n"/>
    </row>
    <row r="480" ht="23" customHeight="1">
      <c r="L480" s="41" t="n"/>
    </row>
    <row r="481" ht="23" customHeight="1">
      <c r="L481" s="41" t="n"/>
    </row>
    <row r="482" ht="23" customHeight="1">
      <c r="L482" s="41" t="n"/>
    </row>
    <row r="483" ht="23" customHeight="1">
      <c r="L483" s="41" t="n"/>
    </row>
    <row r="484" ht="23" customHeight="1">
      <c r="L484" s="41" t="n"/>
    </row>
    <row r="485" ht="23" customHeight="1">
      <c r="L485" s="41" t="n"/>
    </row>
    <row r="486" ht="23" customHeight="1">
      <c r="L486" s="41" t="n"/>
    </row>
    <row r="487" ht="23" customHeight="1">
      <c r="L487" s="41" t="n"/>
    </row>
    <row r="488" ht="23" customHeight="1">
      <c r="L488" s="41" t="n"/>
    </row>
    <row r="489" ht="23" customHeight="1">
      <c r="L489" s="41" t="n"/>
    </row>
    <row r="490" ht="23" customHeight="1">
      <c r="L490" s="41" t="n"/>
    </row>
    <row r="491" ht="23" customHeight="1">
      <c r="L491" s="41" t="n"/>
    </row>
    <row r="492" ht="23" customHeight="1">
      <c r="L492" s="41" t="n"/>
    </row>
    <row r="493" ht="23" customHeight="1">
      <c r="L493" s="41" t="n"/>
    </row>
    <row r="494" ht="23" customHeight="1">
      <c r="L494" s="41" t="n"/>
    </row>
    <row r="495" ht="23" customHeight="1">
      <c r="L495" s="41" t="n"/>
    </row>
    <row r="496" ht="23" customHeight="1">
      <c r="L496" s="41" t="n"/>
    </row>
    <row r="497" ht="23" customHeight="1">
      <c r="L497" s="41" t="n"/>
    </row>
    <row r="498" ht="23" customHeight="1">
      <c r="L498" s="41" t="n"/>
    </row>
    <row r="499" ht="23" customHeight="1">
      <c r="L499" s="41" t="n"/>
    </row>
    <row r="500" ht="23" customHeight="1">
      <c r="L500" s="41" t="n"/>
    </row>
  </sheetData>
  <mergeCells count="2">
    <mergeCell ref="A1:M2"/>
    <mergeCell ref="A3:M3"/>
  </mergeCells>
  <dataValidations count="4">
    <dataValidation sqref="C5:C500" showDropDown="0" showInputMessage="0" showErrorMessage="0" allowBlank="0" type="list">
      <formula1>"Geral,Componente 1,Componente 2,Componente 3,Componente 4 / gestão,Aquisições,Financeiro,Ambiental e Social,Monitoramento e Avaliação,Anexo,Outro"</formula1>
    </dataValidation>
    <dataValidation sqref="H5:H500" showDropDown="0" showInputMessage="0" showErrorMessage="0" allowBlank="0" type="list">
      <formula1>"Fundamento legal,Regra de execução,Competência institucional,Requisito ambiental e social,Aquisições / contratos,Financeiro / desembolso,M&amp;A / indicadores,Referência técnica,Outro"</formula1>
    </dataValidation>
    <dataValidation sqref="I5:I500" showDropDown="0" showInputMessage="0" showErrorMessage="0" allowBlank="0" type="list">
      <formula1>"Sim,Não,A avaliar"</formula1>
    </dataValidation>
    <dataValidation sqref="K5:K500" showDropDown="0" showInputMessage="0" showErrorMessage="0" allowBlank="0" type="list">
      <formula1>"Pendente,Em revisão,Validado,Ajustar texto,Excluído / substituído"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95" customWidth="1" min="3" max="3"/>
  </cols>
  <sheetData>
    <row r="1" ht="27" customHeight="1">
      <c r="A1" s="9" t="inlineStr">
        <is>
          <t>Como utilizar | Referências normativas do PSH</t>
        </is>
      </c>
      <c r="B1" s="1" t="n"/>
      <c r="C1" s="1" t="n"/>
      <c r="D1" s="1" t="n"/>
      <c r="E1" s="1" t="n"/>
      <c r="F1" s="1" t="n"/>
    </row>
    <row r="2" ht="27" customHeight="1">
      <c r="A2" s="1" t="n"/>
      <c r="B2" s="1" t="n"/>
      <c r="C2" s="1" t="n"/>
      <c r="D2" s="1" t="n"/>
      <c r="E2" s="1" t="n"/>
      <c r="F2" s="1" t="n"/>
    </row>
    <row r="3" ht="28" customHeight="1">
      <c r="A3" s="18" t="inlineStr">
        <is>
          <t>Etapa</t>
        </is>
      </c>
      <c r="B3" s="18" t="inlineStr">
        <is>
          <t>Procedimento</t>
        </is>
      </c>
      <c r="C3" s="18" t="inlineStr">
        <is>
          <t>Orientação</t>
        </is>
      </c>
    </row>
    <row r="4" ht="56" customHeight="1">
      <c r="A4" s="31" t="inlineStr">
        <is>
          <t>01</t>
        </is>
      </c>
      <c r="B4" s="31" t="inlineStr">
        <is>
          <t>Princípio das camadas</t>
        </is>
      </c>
      <c r="C4" s="31" t="inlineStr">
        <is>
          <t>O MOP mantém as regras operacionais, responsabilidades e fluxos. A biblioteca normativa externa reúne links e identificação dos atos citados.</t>
        </is>
      </c>
    </row>
    <row r="5" ht="56" customHeight="1">
      <c r="A5" s="31" t="inlineStr">
        <is>
          <t>02</t>
        </is>
      </c>
      <c r="B5" s="31" t="inlineStr">
        <is>
          <t>Cadastrar o ato</t>
        </is>
      </c>
      <c r="C5" s="31" t="inlineStr">
        <is>
          <t>Na aba Cadastro normativo, registre cada norma apenas uma vez e atribua ID único (N-001, N-002...).</t>
        </is>
      </c>
    </row>
    <row r="6" ht="56" customHeight="1">
      <c r="A6" s="31" t="inlineStr">
        <is>
          <t>03</t>
        </is>
      </c>
      <c r="B6" s="31" t="inlineStr">
        <is>
          <t>Registrar citações</t>
        </is>
      </c>
      <c r="C6" s="31" t="inlineStr">
        <is>
          <t>Na aba Citações no MOP, crie uma linha para cada menção em caderno/seção; use o ID da norma já cadastrada.</t>
        </is>
      </c>
    </row>
    <row r="7" ht="56" customHeight="1">
      <c r="A7" s="31" t="inlineStr">
        <is>
          <t>04</t>
        </is>
      </c>
      <c r="B7" s="31" t="inlineStr">
        <is>
          <t>Conferir vigência</t>
        </is>
      </c>
      <c r="C7" s="31" t="inlineStr">
        <is>
          <t>Verifique a situação normativa e a redação consolidada em fonte oficial. Não presuma vigência pela data da citação.</t>
        </is>
      </c>
    </row>
    <row r="8" ht="56" customHeight="1">
      <c r="A8" s="31" t="inlineStr">
        <is>
          <t>05</t>
        </is>
      </c>
      <c r="B8" s="31" t="inlineStr">
        <is>
          <t>Revisar o MOP</t>
        </is>
      </c>
      <c r="C8" s="31" t="inlineStr">
        <is>
          <t>Marque se a citação requer ajuste textual, atualização de link ou substituição por norma superveniente.</t>
        </is>
      </c>
    </row>
    <row r="9" ht="56" customHeight="1">
      <c r="A9" s="31" t="inlineStr">
        <is>
          <t>06</t>
        </is>
      </c>
      <c r="B9" s="31" t="inlineStr">
        <is>
          <t>Governança</t>
        </is>
      </c>
      <c r="C9" s="31" t="inlineStr">
        <is>
          <t>Defina responsável e data da última conferência. Atualize esta planilha quando houver revisão dos cadernos.</t>
        </is>
      </c>
    </row>
    <row r="10" ht="56" customHeight="1">
      <c r="A10" s="31" t="inlineStr">
        <is>
          <t>07</t>
        </is>
      </c>
      <c r="B10" s="31" t="inlineStr">
        <is>
          <t>Fonte primária</t>
        </is>
      </c>
      <c r="C10" s="31" t="inlineStr">
        <is>
          <t>Priorize Diário Oficial, Planalto, Assembleia Legislativa, órgão emissor ou repositório normativo oficial.</t>
        </is>
      </c>
    </row>
    <row r="11" ht="56" customHeight="1">
      <c r="A11" s="31" t="inlineStr">
        <is>
          <t>08</t>
        </is>
      </c>
      <c r="B11" s="31" t="inlineStr">
        <is>
          <t>Escopo</t>
        </is>
      </c>
      <c r="C11" s="31" t="inlineStr">
        <is>
          <t>Este arquivo é um modelo de controle: a linha N-001/C-001 é ilustrativa e não constitui norma efetivamente identificada.</t>
        </is>
      </c>
    </row>
  </sheetData>
  <mergeCells count="1">
    <mergeCell ref="A1:F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38" customWidth="1" min="1" max="1"/>
    <col width="2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27" customHeight="1">
      <c r="A1" s="9" t="inlineStr">
        <is>
          <t>PSH | Visão geral do controle normativo</t>
        </is>
      </c>
      <c r="B1" s="1" t="n"/>
      <c r="C1" s="1" t="n"/>
      <c r="D1" s="1" t="n"/>
      <c r="E1" s="1" t="n"/>
      <c r="F1" s="1" t="n"/>
      <c r="G1" s="1" t="n"/>
      <c r="H1" s="1" t="n"/>
    </row>
    <row r="2" ht="27" customHeight="1">
      <c r="A2" s="1" t="n"/>
      <c r="B2" s="1" t="n"/>
      <c r="C2" s="1" t="n"/>
      <c r="D2" s="1" t="n"/>
      <c r="E2" s="1" t="n"/>
      <c r="F2" s="1" t="n"/>
      <c r="G2" s="1" t="n"/>
      <c r="H2" s="1" t="n"/>
    </row>
    <row r="3" ht="30" customHeight="1">
      <c r="A3" s="12" t="n"/>
      <c r="B3" s="12" t="n"/>
      <c r="C3" s="12" t="n"/>
      <c r="D3" s="12" t="n"/>
      <c r="E3" s="12" t="n"/>
      <c r="F3" s="12" t="n"/>
      <c r="G3" s="12" t="n"/>
      <c r="H3" s="12" t="n"/>
    </row>
    <row r="4">
      <c r="A4" s="34" t="inlineStr">
        <is>
          <t>Indicador</t>
        </is>
      </c>
      <c r="B4" s="34" t="inlineStr">
        <is>
          <t>Quantidade</t>
        </is>
      </c>
    </row>
    <row r="5" ht="30" customHeight="1">
      <c r="A5" t="inlineStr">
        <is>
          <t>Normas cadastradas</t>
        </is>
      </c>
      <c r="B5">
        <f>COUNTA('Cadastro normativo'!A5:A300)</f>
        <v/>
      </c>
    </row>
    <row r="6" ht="30" customHeight="1">
      <c r="A6" t="inlineStr">
        <is>
          <t>Citações registradas</t>
        </is>
      </c>
      <c r="B6">
        <f>COUNTA('Citações no MOP'!A5:A500)</f>
        <v/>
      </c>
    </row>
    <row r="7" ht="30" customHeight="1">
      <c r="A7" t="inlineStr">
        <is>
          <t>Normas com conferência oficial</t>
        </is>
      </c>
      <c r="B7">
        <f>COUNTIF('Cadastro normativo'!L5:L300,"Conferido em fonte oficial")</f>
        <v/>
      </c>
    </row>
    <row r="8" ht="30" customHeight="1">
      <c r="A8" t="inlineStr">
        <is>
          <t>Citações pendentes de revisão</t>
        </is>
      </c>
      <c r="B8">
        <f>COUNTIF('Citações no MOP'!K5:K500,"Pendente")+COUNTIF('Citações no MOP'!K5:K500,"Ajustar texto")</f>
        <v/>
      </c>
    </row>
    <row r="10">
      <c r="A10" s="1" t="inlineStr">
        <is>
          <t>As linhas-modelo 5 foram substituídas pelo cadastro da Atividade 3.2.2 (Caderno C3) em 26/10/2026; os indicadores contam todas as linhas preenchidas.</t>
        </is>
      </c>
      <c r="B10" s="1" t="n"/>
      <c r="C10" s="1" t="n"/>
      <c r="D10" s="1" t="n"/>
      <c r="E10" s="1" t="n"/>
      <c r="F10" s="1" t="n"/>
      <c r="G10" s="1" t="n"/>
      <c r="H10" s="1" t="n"/>
    </row>
    <row r="11">
      <c r="A11" s="1" t="n"/>
      <c r="B11" s="1" t="n"/>
      <c r="C11" s="1" t="n"/>
      <c r="D11" s="1" t="n"/>
      <c r="E11" s="1" t="n"/>
      <c r="F11" s="1" t="n"/>
      <c r="G11" s="1" t="n"/>
      <c r="H11" s="1" t="n"/>
    </row>
  </sheetData>
  <mergeCells count="2">
    <mergeCell ref="A1:H2"/>
    <mergeCell ref="A10:H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2026-10-26T14:30:58Z</dcterms:created>
  <dcterms:modified xmlns:dcterms="http://purl.org/dc/terms/" xmlns:xsi="http://www.w3.org/2001/XMLSchema-instance" xsi:type="dcterms:W3CDTF">2026-10-26T14:30:59Z</dcterms:modified>
</cp:coreProperties>
</file>